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Gwen\Documents\GitHub\Factorio-Astra-Asteroids\"/>
    </mc:Choice>
  </mc:AlternateContent>
  <xr:revisionPtr revIDLastSave="0" documentId="13_ncr:1_{BB34B3ED-8EF0-4EE0-A22C-575C8BE4DE31}" xr6:coauthVersionLast="47" xr6:coauthVersionMax="47" xr10:uidLastSave="{00000000-0000-0000-0000-000000000000}"/>
  <bookViews>
    <workbookView xWindow="-120" yWindow="-120" windowWidth="38640" windowHeight="21240" activeTab="4" xr2:uid="{19A80CD4-A61D-4139-863E-8E630E8C5493}"/>
    <workbookView xWindow="-120" yWindow="-120" windowWidth="38640" windowHeight="21240" activeTab="3" xr2:uid="{B83F7878-8263-4A97-A1DF-A9E638B23B4E}"/>
  </bookViews>
  <sheets>
    <sheet name="Sheet1" sheetId="1" r:id="rId1"/>
    <sheet name="Asteroids (chunks, chunk items)" sheetId="2" r:id="rId2"/>
    <sheet name="Table7" sheetId="5" r:id="rId3"/>
    <sheet name="Recipies" sheetId="3" r:id="rId4"/>
    <sheet name="Recipe Evals" sheetId="6" r:id="rId5"/>
    <sheet name="Sheet4" sheetId="8" r:id="rId6"/>
    <sheet name="Sheet3" sheetId="7" r:id="rId7"/>
    <sheet name="ItemListGen" sheetId="4" r:id="rId8"/>
  </sheets>
  <definedNames>
    <definedName name="_xlnm._FilterDatabase" localSheetId="6" hidden="1">Sheet3!$C$4:$C$167</definedName>
    <definedName name="advRecipeCopy">Recipies!$G$5</definedName>
    <definedName name="baseRecipeCopy">Recipies!$G$4</definedName>
    <definedName name="ExternalData_1" localSheetId="2" hidden="1">Table7!$A$1:$Y$21</definedName>
  </definedNames>
  <calcPr calcId="191029" iterate="1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3" l="1" a="1"/>
  <c r="P8" i="3"/>
  <c r="P9" i="3" a="1"/>
  <c r="P9" i="3"/>
  <c r="P10" i="3" a="1"/>
  <c r="P10" i="3"/>
  <c r="P11" i="3" a="1"/>
  <c r="P11" i="3"/>
  <c r="P12" i="3" a="1"/>
  <c r="P12" i="3"/>
  <c r="P13" i="3" a="1"/>
  <c r="P13" i="3"/>
  <c r="P14" i="3" a="1"/>
  <c r="P14" i="3"/>
  <c r="P15" i="3" a="1"/>
  <c r="P15" i="3"/>
  <c r="P16" i="3" a="1"/>
  <c r="P16" i="3"/>
  <c r="P17" i="3" a="1"/>
  <c r="P17" i="3"/>
  <c r="P18" i="3" a="1"/>
  <c r="P18" i="3"/>
  <c r="P19" i="3" a="1"/>
  <c r="P19" i="3"/>
  <c r="P20" i="3" a="1"/>
  <c r="P20" i="3"/>
  <c r="P21" i="3" a="1"/>
  <c r="P21" i="3"/>
  <c r="P22" i="3" a="1"/>
  <c r="P22" i="3"/>
  <c r="P23" i="3" a="1"/>
  <c r="P23" i="3"/>
  <c r="P24" i="3" a="1"/>
  <c r="P24" i="3"/>
  <c r="P25" i="3" a="1"/>
  <c r="P25" i="3"/>
  <c r="P26" i="3" a="1"/>
  <c r="P26" i="3"/>
  <c r="P27" i="3" a="1"/>
  <c r="P27" i="3"/>
  <c r="P28" i="3" a="1"/>
  <c r="P28" i="3"/>
  <c r="Q9" i="3" a="1"/>
  <c r="Q9" i="3"/>
  <c r="Q8" i="3" a="1"/>
  <c r="Q8" i="3"/>
  <c r="Q10" i="3" a="1"/>
  <c r="Q10" i="3"/>
  <c r="Q11" i="3" a="1"/>
  <c r="Q11" i="3"/>
  <c r="Q12" i="3" a="1"/>
  <c r="Q12" i="3"/>
  <c r="Q13" i="3" a="1"/>
  <c r="Q13" i="3"/>
  <c r="Q14" i="3" a="1"/>
  <c r="Q14" i="3"/>
  <c r="Q15" i="3" a="1"/>
  <c r="Q15" i="3"/>
  <c r="Q16" i="3" a="1"/>
  <c r="Q16" i="3"/>
  <c r="Q17" i="3" a="1"/>
  <c r="Q17" i="3"/>
  <c r="Q18" i="3" a="1"/>
  <c r="Q18" i="3"/>
  <c r="Q19" i="3" a="1"/>
  <c r="Q19" i="3"/>
  <c r="Q20" i="3" a="1"/>
  <c r="Q20" i="3"/>
  <c r="Q21" i="3" a="1"/>
  <c r="Q21" i="3"/>
  <c r="Q22" i="3" a="1"/>
  <c r="Q22" i="3"/>
  <c r="Q23" i="3" a="1"/>
  <c r="Q23" i="3"/>
  <c r="Q24" i="3" a="1"/>
  <c r="Q24" i="3"/>
  <c r="Q25" i="3" a="1"/>
  <c r="Q25" i="3"/>
  <c r="Q26" i="3" a="1"/>
  <c r="Q26" i="3"/>
  <c r="Q27" i="3" a="1"/>
  <c r="Q27" i="3"/>
  <c r="Q28" i="3" a="1"/>
  <c r="Q28" i="3"/>
  <c r="R9" i="3" a="1"/>
  <c r="R9" i="3"/>
  <c r="R8" i="3" a="1"/>
  <c r="R8" i="3"/>
  <c r="R10" i="3" a="1"/>
  <c r="R10" i="3"/>
  <c r="R11" i="3" a="1"/>
  <c r="R11" i="3"/>
  <c r="R12" i="3" a="1"/>
  <c r="R12" i="3"/>
  <c r="R13" i="3" a="1"/>
  <c r="R13" i="3"/>
  <c r="R14" i="3" a="1"/>
  <c r="R14" i="3"/>
  <c r="R15" i="3" a="1"/>
  <c r="R15" i="3"/>
  <c r="R16" i="3" a="1"/>
  <c r="R16" i="3"/>
  <c r="R17" i="3" a="1"/>
  <c r="R17" i="3"/>
  <c r="R18" i="3" a="1"/>
  <c r="R18" i="3"/>
  <c r="R19" i="3" a="1"/>
  <c r="R19" i="3"/>
  <c r="R20" i="3" a="1"/>
  <c r="R20" i="3"/>
  <c r="R21" i="3" a="1"/>
  <c r="R21" i="3"/>
  <c r="R22" i="3" a="1"/>
  <c r="R22" i="3"/>
  <c r="R23" i="3" a="1"/>
  <c r="R23" i="3"/>
  <c r="R24" i="3" a="1"/>
  <c r="R24" i="3"/>
  <c r="R25" i="3" a="1"/>
  <c r="R25" i="3"/>
  <c r="R26" i="3" a="1"/>
  <c r="R26" i="3"/>
  <c r="R27" i="3" a="1"/>
  <c r="R27" i="3"/>
  <c r="R28" i="3" a="1"/>
  <c r="R28" i="3"/>
  <c r="S9" i="3" a="1"/>
  <c r="S9" i="3"/>
  <c r="S8" i="3" a="1"/>
  <c r="S8" i="3"/>
  <c r="S10" i="3" a="1"/>
  <c r="S10" i="3"/>
  <c r="S11" i="3" a="1"/>
  <c r="S11" i="3"/>
  <c r="S12" i="3" a="1"/>
  <c r="S12" i="3"/>
  <c r="S13" i="3" a="1"/>
  <c r="S13" i="3"/>
  <c r="S14" i="3" a="1"/>
  <c r="S14" i="3"/>
  <c r="S15" i="3" a="1"/>
  <c r="S15" i="3"/>
  <c r="S16" i="3" a="1"/>
  <c r="S16" i="3"/>
  <c r="S17" i="3" a="1"/>
  <c r="S17" i="3"/>
  <c r="S18" i="3" a="1"/>
  <c r="S18" i="3"/>
  <c r="S19" i="3" a="1"/>
  <c r="S19" i="3"/>
  <c r="S20" i="3" a="1"/>
  <c r="S20" i="3"/>
  <c r="S21" i="3" a="1"/>
  <c r="S21" i="3"/>
  <c r="S22" i="3" a="1"/>
  <c r="S22" i="3"/>
  <c r="S23" i="3" a="1"/>
  <c r="S23" i="3"/>
  <c r="S24" i="3" a="1"/>
  <c r="S24" i="3"/>
  <c r="S25" i="3" a="1"/>
  <c r="S25" i="3"/>
  <c r="S26" i="3" a="1"/>
  <c r="S26" i="3"/>
  <c r="S27" i="3" a="1"/>
  <c r="S27" i="3"/>
  <c r="S28" i="3" a="1"/>
  <c r="S28" i="3"/>
  <c r="T9" i="3" a="1"/>
  <c r="T9" i="3"/>
  <c r="T8" i="3" a="1"/>
  <c r="T8" i="3"/>
  <c r="T10" i="3" a="1"/>
  <c r="T10" i="3"/>
  <c r="T11" i="3" a="1"/>
  <c r="T11" i="3"/>
  <c r="T12" i="3" a="1"/>
  <c r="T12" i="3"/>
  <c r="T13" i="3" a="1"/>
  <c r="T13" i="3"/>
  <c r="T14" i="3" a="1"/>
  <c r="T14" i="3"/>
  <c r="T15" i="3" a="1"/>
  <c r="T15" i="3"/>
  <c r="T16" i="3" a="1"/>
  <c r="T16" i="3"/>
  <c r="T17" i="3" a="1"/>
  <c r="T17" i="3"/>
  <c r="T18" i="3" a="1"/>
  <c r="T18" i="3"/>
  <c r="T19" i="3" a="1"/>
  <c r="T19" i="3"/>
  <c r="T20" i="3" a="1"/>
  <c r="T20" i="3"/>
  <c r="T21" i="3" a="1"/>
  <c r="T21" i="3"/>
  <c r="T22" i="3" a="1"/>
  <c r="T22" i="3"/>
  <c r="T23" i="3" a="1"/>
  <c r="T23" i="3"/>
  <c r="T24" i="3" a="1"/>
  <c r="T24" i="3"/>
  <c r="T25" i="3" a="1"/>
  <c r="T25" i="3"/>
  <c r="T26" i="3" a="1"/>
  <c r="T26" i="3"/>
  <c r="T27" i="3" a="1"/>
  <c r="T27" i="3"/>
  <c r="T28" i="3" a="1"/>
  <c r="T28" i="3"/>
  <c r="U9" i="3" a="1"/>
  <c r="U9" i="3"/>
  <c r="V9" i="3" a="1"/>
  <c r="V9" i="3"/>
  <c r="W9" i="3" a="1"/>
  <c r="W9" i="3"/>
  <c r="X9" i="3" a="1"/>
  <c r="X9" i="3"/>
  <c r="Y9" i="3" a="1"/>
  <c r="Y9" i="3"/>
  <c r="U8" i="3" a="1"/>
  <c r="U8" i="3"/>
  <c r="U10" i="3" a="1"/>
  <c r="U10" i="3"/>
  <c r="U11" i="3" a="1"/>
  <c r="U11" i="3"/>
  <c r="U12" i="3" a="1"/>
  <c r="U12" i="3"/>
  <c r="U13" i="3" a="1"/>
  <c r="U13" i="3"/>
  <c r="U14" i="3" a="1"/>
  <c r="U14" i="3"/>
  <c r="U15" i="3" a="1"/>
  <c r="U15" i="3"/>
  <c r="U16" i="3" a="1"/>
  <c r="U16" i="3"/>
  <c r="U17" i="3" a="1"/>
  <c r="U17" i="3"/>
  <c r="U18" i="3" a="1"/>
  <c r="U18" i="3"/>
  <c r="U19" i="3" a="1"/>
  <c r="U19" i="3"/>
  <c r="U20" i="3" a="1"/>
  <c r="U20" i="3"/>
  <c r="U21" i="3" a="1"/>
  <c r="U21" i="3"/>
  <c r="U22" i="3" a="1"/>
  <c r="U22" i="3"/>
  <c r="U23" i="3" a="1"/>
  <c r="U23" i="3"/>
  <c r="U24" i="3" a="1"/>
  <c r="U24" i="3"/>
  <c r="U25" i="3" a="1"/>
  <c r="U25" i="3"/>
  <c r="U26" i="3" a="1"/>
  <c r="U26" i="3"/>
  <c r="U27" i="3" a="1"/>
  <c r="U27" i="3"/>
  <c r="U28" i="3" a="1"/>
  <c r="U28" i="3"/>
  <c r="V8" i="3" a="1"/>
  <c r="V8" i="3"/>
  <c r="V10" i="3" a="1"/>
  <c r="V10" i="3"/>
  <c r="V11" i="3" a="1"/>
  <c r="V11" i="3"/>
  <c r="V12" i="3" a="1"/>
  <c r="V12" i="3"/>
  <c r="V13" i="3" a="1"/>
  <c r="V13" i="3"/>
  <c r="V14" i="3" a="1"/>
  <c r="V14" i="3"/>
  <c r="V15" i="3" a="1"/>
  <c r="V15" i="3"/>
  <c r="V16" i="3" a="1"/>
  <c r="V16" i="3"/>
  <c r="V17" i="3" a="1"/>
  <c r="V17" i="3"/>
  <c r="V18" i="3" a="1"/>
  <c r="V18" i="3"/>
  <c r="V19" i="3" a="1"/>
  <c r="V19" i="3"/>
  <c r="V20" i="3" a="1"/>
  <c r="V20" i="3"/>
  <c r="V21" i="3" a="1"/>
  <c r="V21" i="3"/>
  <c r="V22" i="3" a="1"/>
  <c r="V22" i="3"/>
  <c r="V23" i="3" a="1"/>
  <c r="V23" i="3"/>
  <c r="V24" i="3" a="1"/>
  <c r="V24" i="3"/>
  <c r="V25" i="3" a="1"/>
  <c r="V25" i="3"/>
  <c r="V26" i="3" a="1"/>
  <c r="V26" i="3"/>
  <c r="V27" i="3" a="1"/>
  <c r="V27" i="3"/>
  <c r="V28" i="3" a="1"/>
  <c r="V28" i="3"/>
  <c r="W8" i="3" a="1"/>
  <c r="W8" i="3"/>
  <c r="W10" i="3" a="1"/>
  <c r="W10" i="3"/>
  <c r="W11" i="3" a="1"/>
  <c r="W11" i="3"/>
  <c r="W12" i="3" a="1"/>
  <c r="W13" i="3" a="1"/>
  <c r="W14" i="3" a="1"/>
  <c r="W14" i="3"/>
  <c r="W15" i="3" a="1"/>
  <c r="W16" i="3" a="1"/>
  <c r="W17" i="3" a="1"/>
  <c r="W18" i="3" a="1"/>
  <c r="W19" i="3" a="1"/>
  <c r="W20" i="3" a="1"/>
  <c r="W21" i="3" a="1"/>
  <c r="W22" i="3" a="1"/>
  <c r="W23" i="3" a="1"/>
  <c r="W24" i="3" a="1"/>
  <c r="W25" i="3" a="1"/>
  <c r="W26" i="3" a="1"/>
  <c r="W27" i="3" a="1"/>
  <c r="W28" i="3" a="1"/>
  <c r="X8" i="3" a="1"/>
  <c r="X10" i="3" a="1"/>
  <c r="X11" i="3" a="1"/>
  <c r="X12" i="3" a="1"/>
  <c r="X13" i="3" a="1"/>
  <c r="X14" i="3" a="1"/>
  <c r="X15" i="3" a="1"/>
  <c r="X15" i="3"/>
  <c r="X16" i="3" a="1"/>
  <c r="X16" i="3"/>
  <c r="X17" i="3" a="1"/>
  <c r="X17" i="3"/>
  <c r="X18" i="3" a="1"/>
  <c r="X18" i="3"/>
  <c r="X19" i="3" a="1"/>
  <c r="X19" i="3"/>
  <c r="X20" i="3" a="1"/>
  <c r="X20" i="3"/>
  <c r="X21" i="3" a="1"/>
  <c r="X21" i="3"/>
  <c r="X22" i="3" a="1"/>
  <c r="X22" i="3"/>
  <c r="X23" i="3" a="1"/>
  <c r="X23" i="3"/>
  <c r="X24" i="3" a="1"/>
  <c r="X24" i="3"/>
  <c r="X25" i="3" a="1"/>
  <c r="X25" i="3"/>
  <c r="X26" i="3" a="1"/>
  <c r="X26" i="3"/>
  <c r="X27" i="3" a="1"/>
  <c r="X27" i="3"/>
  <c r="X28" i="3" a="1"/>
  <c r="X28" i="3"/>
  <c r="Y8" i="3" a="1"/>
  <c r="Y8" i="3"/>
  <c r="Y10" i="3" a="1"/>
  <c r="Y10" i="3"/>
  <c r="Y11" i="3" a="1"/>
  <c r="Y11" i="3"/>
  <c r="Y12" i="3" a="1"/>
  <c r="Y12" i="3"/>
  <c r="Y13" i="3" a="1"/>
  <c r="Y13" i="3"/>
  <c r="Y14" i="3" a="1"/>
  <c r="Y14" i="3"/>
  <c r="Y15" i="3" a="1"/>
  <c r="Y15" i="3"/>
  <c r="Y16" i="3" a="1"/>
  <c r="Y16" i="3"/>
  <c r="Y17" i="3" a="1"/>
  <c r="Y17" i="3"/>
  <c r="Y18" i="3" a="1"/>
  <c r="Y18" i="3"/>
  <c r="Y19" i="3" a="1"/>
  <c r="Y19" i="3"/>
  <c r="Y20" i="3" a="1"/>
  <c r="Y20" i="3"/>
  <c r="Y21" i="3" a="1"/>
  <c r="Y21" i="3"/>
  <c r="Y22" i="3" a="1"/>
  <c r="Y22" i="3"/>
  <c r="Y23" i="3" a="1"/>
  <c r="Y23" i="3"/>
  <c r="Y24" i="3" a="1"/>
  <c r="Y24" i="3"/>
  <c r="Y25" i="3" a="1"/>
  <c r="Y25" i="3"/>
  <c r="Y26" i="3" a="1"/>
  <c r="Y26" i="3"/>
  <c r="Y27" i="3" a="1"/>
  <c r="Y27" i="3"/>
  <c r="Y28" i="3" a="1"/>
  <c r="Y28" i="3"/>
  <c r="Z9" i="3" a="1"/>
  <c r="Z9" i="3"/>
  <c r="AA9" i="3" a="1"/>
  <c r="AA9" i="3"/>
  <c r="AB9" i="3" a="1"/>
  <c r="AB9" i="3"/>
  <c r="AC9" i="3" a="1"/>
  <c r="AC9" i="3"/>
  <c r="AD9" i="3" a="1"/>
  <c r="AD9" i="3"/>
  <c r="Z8" i="3" a="1"/>
  <c r="Z8" i="3"/>
  <c r="Z10" i="3" a="1"/>
  <c r="Z10" i="3"/>
  <c r="Z11" i="3" a="1"/>
  <c r="Z11" i="3"/>
  <c r="Z12" i="3" a="1"/>
  <c r="Z12" i="3"/>
  <c r="Z13" i="3" a="1"/>
  <c r="Z13" i="3"/>
  <c r="Z14" i="3" a="1"/>
  <c r="Z14" i="3"/>
  <c r="Z15" i="3" a="1"/>
  <c r="Z15" i="3"/>
  <c r="Z16" i="3" a="1"/>
  <c r="Z16" i="3"/>
  <c r="Z17" i="3" a="1"/>
  <c r="Z17" i="3"/>
  <c r="Z18" i="3" a="1"/>
  <c r="Z18" i="3"/>
  <c r="Z19" i="3" a="1"/>
  <c r="Z19" i="3"/>
  <c r="Z20" i="3" a="1"/>
  <c r="Z20" i="3"/>
  <c r="Z21" i="3" a="1"/>
  <c r="Z21" i="3"/>
  <c r="Z22" i="3" a="1"/>
  <c r="Z22" i="3"/>
  <c r="Z23" i="3" a="1"/>
  <c r="Z23" i="3"/>
  <c r="Z24" i="3" a="1"/>
  <c r="Z24" i="3"/>
  <c r="Z25" i="3" a="1"/>
  <c r="Z25" i="3"/>
  <c r="Z26" i="3" a="1"/>
  <c r="Z26" i="3"/>
  <c r="Z27" i="3" a="1"/>
  <c r="Z27" i="3"/>
  <c r="Z28" i="3" a="1"/>
  <c r="Z28" i="3"/>
  <c r="AA8" i="3" a="1"/>
  <c r="AA8" i="3"/>
  <c r="AA10" i="3" a="1"/>
  <c r="AA10" i="3"/>
  <c r="AA11" i="3" a="1"/>
  <c r="AA11" i="3"/>
  <c r="AA12" i="3" a="1"/>
  <c r="AA12" i="3"/>
  <c r="AA13" i="3" a="1"/>
  <c r="AA13" i="3"/>
  <c r="AA14" i="3" a="1"/>
  <c r="AA14" i="3"/>
  <c r="AA15" i="3" a="1"/>
  <c r="AA15" i="3"/>
  <c r="AA16" i="3" a="1"/>
  <c r="AA16" i="3"/>
  <c r="AA17" i="3" a="1"/>
  <c r="AA17" i="3"/>
  <c r="AA18" i="3" a="1"/>
  <c r="AA18" i="3"/>
  <c r="AA19" i="3" a="1"/>
  <c r="AA19" i="3"/>
  <c r="AA20" i="3" a="1"/>
  <c r="AA20" i="3"/>
  <c r="AA21" i="3" a="1"/>
  <c r="AA21" i="3"/>
  <c r="AA22" i="3" a="1"/>
  <c r="AA22" i="3"/>
  <c r="AA23" i="3" a="1"/>
  <c r="AA23" i="3"/>
  <c r="AA24" i="3" a="1"/>
  <c r="AA24" i="3"/>
  <c r="AA25" i="3" a="1"/>
  <c r="AA25" i="3"/>
  <c r="AA26" i="3" a="1"/>
  <c r="AA26" i="3"/>
  <c r="AA27" i="3" a="1"/>
  <c r="AA27" i="3"/>
  <c r="AA28" i="3" a="1"/>
  <c r="AA28" i="3"/>
  <c r="AB8" i="3" a="1"/>
  <c r="AB8" i="3"/>
  <c r="AB10" i="3" a="1"/>
  <c r="AB10" i="3"/>
  <c r="AB11" i="3" a="1"/>
  <c r="AB11" i="3"/>
  <c r="AB12" i="3" a="1"/>
  <c r="AB12" i="3"/>
  <c r="AB13" i="3" a="1"/>
  <c r="AB13" i="3"/>
  <c r="AB14" i="3" a="1"/>
  <c r="AB14" i="3"/>
  <c r="AB15" i="3" a="1"/>
  <c r="AB15" i="3"/>
  <c r="AB16" i="3" a="1"/>
  <c r="AB16" i="3"/>
  <c r="AB17" i="3" a="1"/>
  <c r="AB17" i="3"/>
  <c r="AB18" i="3" a="1"/>
  <c r="AB18" i="3"/>
  <c r="AB19" i="3" a="1"/>
  <c r="AB19" i="3"/>
  <c r="AB20" i="3" a="1"/>
  <c r="AB20" i="3"/>
  <c r="AB21" i="3" a="1"/>
  <c r="AB21" i="3"/>
  <c r="AB22" i="3" a="1"/>
  <c r="AB22" i="3"/>
  <c r="AB23" i="3" a="1"/>
  <c r="AB24" i="3" a="1"/>
  <c r="AB25" i="3" a="1"/>
  <c r="AB26" i="3" a="1"/>
  <c r="AB27" i="3" a="1"/>
  <c r="AB28" i="3" a="1"/>
  <c r="AC8" i="3" a="1"/>
  <c r="AC10" i="3" a="1"/>
  <c r="AC11" i="3" a="1"/>
  <c r="AC12" i="3" a="1"/>
  <c r="AC13" i="3" a="1"/>
  <c r="AC14" i="3" a="1"/>
  <c r="AC14" i="3"/>
  <c r="AC15" i="3" a="1"/>
  <c r="AC15" i="3"/>
  <c r="AC16" i="3" a="1"/>
  <c r="AC16" i="3"/>
  <c r="AC17" i="3" a="1"/>
  <c r="AC17" i="3"/>
  <c r="AC18" i="3" a="1"/>
  <c r="AC18" i="3"/>
  <c r="AC19" i="3" a="1"/>
  <c r="AC19" i="3"/>
  <c r="AC20" i="3" a="1"/>
  <c r="AC20" i="3"/>
  <c r="AC21" i="3" a="1"/>
  <c r="AC21" i="3"/>
  <c r="AC22" i="3" a="1"/>
  <c r="AC22" i="3"/>
  <c r="AC23" i="3" a="1"/>
  <c r="AC23" i="3"/>
  <c r="AC24" i="3" a="1"/>
  <c r="AC24" i="3"/>
  <c r="AC25" i="3" a="1"/>
  <c r="AC25" i="3"/>
  <c r="AC26" i="3" a="1"/>
  <c r="AC26" i="3"/>
  <c r="AC27" i="3" a="1"/>
  <c r="AC27" i="3"/>
  <c r="AC28" i="3" a="1"/>
  <c r="AC28" i="3"/>
  <c r="AD8" i="3" a="1"/>
  <c r="AD8" i="3"/>
  <c r="AD10" i="3" a="1"/>
  <c r="AD10" i="3"/>
  <c r="AD11" i="3" a="1"/>
  <c r="AD11" i="3"/>
  <c r="AD12" i="3" a="1"/>
  <c r="AD12" i="3"/>
  <c r="AD13" i="3" a="1"/>
  <c r="AD13" i="3"/>
  <c r="AD14" i="3" a="1"/>
  <c r="AD14" i="3"/>
  <c r="AD15" i="3" a="1"/>
  <c r="AD15" i="3"/>
  <c r="AD16" i="3" a="1"/>
  <c r="AD16" i="3"/>
  <c r="AD17" i="3" a="1"/>
  <c r="AD17" i="3"/>
  <c r="AD18" i="3" a="1"/>
  <c r="AD18" i="3"/>
  <c r="AD19" i="3" a="1"/>
  <c r="AD19" i="3"/>
  <c r="AD20" i="3" a="1"/>
  <c r="AD20" i="3"/>
  <c r="AD21" i="3" a="1"/>
  <c r="AD21" i="3"/>
  <c r="AD22" i="3" a="1"/>
  <c r="AD22" i="3"/>
  <c r="AD23" i="3" a="1"/>
  <c r="AD23" i="3"/>
  <c r="AD24" i="3" a="1"/>
  <c r="AD24" i="3"/>
  <c r="AD25" i="3" a="1"/>
  <c r="AD25" i="3"/>
  <c r="AD26" i="3" a="1"/>
  <c r="AD26" i="3"/>
  <c r="AD27" i="3" a="1"/>
  <c r="AD27" i="3"/>
  <c r="AD28" i="3" a="1"/>
  <c r="AD28" i="3"/>
  <c r="AE9" i="3" a="1"/>
  <c r="AE9" i="3"/>
  <c r="AF9" i="3" a="1"/>
  <c r="AF9" i="3"/>
  <c r="AG9" i="3" a="1"/>
  <c r="AG9" i="3"/>
  <c r="AH9" i="3" a="1"/>
  <c r="AH9" i="3"/>
  <c r="AI9" i="3" a="1"/>
  <c r="AI9" i="3"/>
  <c r="AE8" i="3" a="1"/>
  <c r="AE8" i="3"/>
  <c r="AE10" i="3" a="1"/>
  <c r="AE10" i="3"/>
  <c r="AE11" i="3" a="1"/>
  <c r="AE11" i="3"/>
  <c r="AE12" i="3" a="1"/>
  <c r="AE12" i="3"/>
  <c r="AE13" i="3" a="1"/>
  <c r="AE13" i="3"/>
  <c r="AE14" i="3" a="1"/>
  <c r="AE14" i="3"/>
  <c r="AE15" i="3" a="1"/>
  <c r="AE15" i="3"/>
  <c r="AE16" i="3" a="1"/>
  <c r="AE16" i="3"/>
  <c r="AE17" i="3" a="1"/>
  <c r="AE17" i="3"/>
  <c r="AE18" i="3" a="1"/>
  <c r="AE18" i="3"/>
  <c r="AE19" i="3" a="1"/>
  <c r="AE19" i="3"/>
  <c r="AE20" i="3" a="1"/>
  <c r="AE20" i="3"/>
  <c r="AE21" i="3" a="1"/>
  <c r="AE21" i="3"/>
  <c r="AE22" i="3" a="1"/>
  <c r="AE22" i="3"/>
  <c r="AE23" i="3" a="1"/>
  <c r="AE23" i="3"/>
  <c r="AE24" i="3" a="1"/>
  <c r="AE24" i="3"/>
  <c r="AE25" i="3" a="1"/>
  <c r="AE25" i="3"/>
  <c r="AE26" i="3" a="1"/>
  <c r="AE26" i="3"/>
  <c r="AE27" i="3" a="1"/>
  <c r="AE27" i="3"/>
  <c r="AE28" i="3" a="1"/>
  <c r="AE28" i="3"/>
  <c r="AF8" i="3" a="1"/>
  <c r="AF8" i="3"/>
  <c r="AF10" i="3" a="1"/>
  <c r="AF10" i="3"/>
  <c r="AF11" i="3" a="1"/>
  <c r="AF11" i="3"/>
  <c r="AF12" i="3" a="1"/>
  <c r="AF12" i="3"/>
  <c r="AF13" i="3" a="1"/>
  <c r="AF13" i="3"/>
  <c r="AF14" i="3" a="1"/>
  <c r="AF14" i="3"/>
  <c r="AF15" i="3" a="1"/>
  <c r="AF15" i="3"/>
  <c r="AF16" i="3" a="1"/>
  <c r="AF16" i="3"/>
  <c r="AF17" i="3" a="1"/>
  <c r="AF17" i="3"/>
  <c r="AF18" i="3" a="1"/>
  <c r="AF18" i="3"/>
  <c r="AF19" i="3" a="1"/>
  <c r="AF19" i="3"/>
  <c r="AF20" i="3" a="1"/>
  <c r="AF20" i="3"/>
  <c r="AF21" i="3" a="1"/>
  <c r="AF21" i="3"/>
  <c r="AF22" i="3" a="1"/>
  <c r="AF22" i="3"/>
  <c r="AF23" i="3" a="1"/>
  <c r="AF23" i="3"/>
  <c r="AF24" i="3" a="1"/>
  <c r="AF24" i="3"/>
  <c r="AF25" i="3" a="1"/>
  <c r="AF26" i="3" a="1"/>
  <c r="AF27" i="3" a="1"/>
  <c r="AF28" i="3" a="1"/>
  <c r="AG8" i="3" a="1"/>
  <c r="AG10" i="3" a="1"/>
  <c r="AG11" i="3" a="1"/>
  <c r="AG12" i="3" a="1"/>
  <c r="AG13" i="3" a="1"/>
  <c r="AG14" i="3" a="1"/>
  <c r="AG15" i="3" a="1"/>
  <c r="AG16" i="3" a="1"/>
  <c r="AG17" i="3" a="1"/>
  <c r="AG18" i="3" a="1"/>
  <c r="AG19" i="3" a="1"/>
  <c r="AG20" i="3" a="1"/>
  <c r="AG21" i="3" a="1"/>
  <c r="AG22" i="3" a="1"/>
  <c r="AG23" i="3" a="1"/>
  <c r="AG24" i="3" a="1"/>
  <c r="AG25" i="3" a="1"/>
  <c r="AG26" i="3" a="1"/>
  <c r="AG27" i="3" a="1"/>
  <c r="AG28" i="3" a="1"/>
  <c r="AH8" i="3" a="1"/>
  <c r="AH10" i="3" a="1"/>
  <c r="AH11" i="3" a="1"/>
  <c r="AH12" i="3" a="1"/>
  <c r="AH13" i="3" a="1"/>
  <c r="AH14" i="3" a="1"/>
  <c r="AH14" i="3"/>
  <c r="AH15" i="3" a="1"/>
  <c r="AH15" i="3"/>
  <c r="AH16" i="3" a="1"/>
  <c r="AH16" i="3"/>
  <c r="AH17" i="3" a="1"/>
  <c r="AH17" i="3"/>
  <c r="AH18" i="3" a="1"/>
  <c r="AH18" i="3"/>
  <c r="AH19" i="3" a="1"/>
  <c r="AH19" i="3"/>
  <c r="AH20" i="3" a="1"/>
  <c r="AH20" i="3"/>
  <c r="AH21" i="3" a="1"/>
  <c r="AH21" i="3"/>
  <c r="AH22" i="3" a="1"/>
  <c r="AH22" i="3"/>
  <c r="AH23" i="3" a="1"/>
  <c r="AH23" i="3"/>
  <c r="AH24" i="3" a="1"/>
  <c r="AH24" i="3"/>
  <c r="AH25" i="3" a="1"/>
  <c r="AH25" i="3"/>
  <c r="AH26" i="3" a="1"/>
  <c r="AH26" i="3"/>
  <c r="AH27" i="3" a="1"/>
  <c r="AH27" i="3"/>
  <c r="AH28" i="3" a="1"/>
  <c r="AH28" i="3"/>
  <c r="AI8" i="3" a="1"/>
  <c r="AI8" i="3"/>
  <c r="AI10" i="3" a="1"/>
  <c r="AI10" i="3"/>
  <c r="AI11" i="3" a="1"/>
  <c r="AI11" i="3"/>
  <c r="AI12" i="3" a="1"/>
  <c r="AI12" i="3"/>
  <c r="AI13" i="3" a="1"/>
  <c r="AI13" i="3"/>
  <c r="AI14" i="3" a="1"/>
  <c r="AI15" i="3" a="1"/>
  <c r="AI16" i="3" a="1"/>
  <c r="AI17" i="3" a="1"/>
  <c r="AI18" i="3" a="1"/>
  <c r="AI19" i="3" a="1"/>
  <c r="AI20" i="3" a="1"/>
  <c r="AI21" i="3" a="1"/>
  <c r="AI22" i="3" a="1"/>
  <c r="AI23" i="3" a="1"/>
  <c r="AI24" i="3" a="1"/>
  <c r="AI25" i="3" a="1"/>
  <c r="AI26" i="3" a="1"/>
  <c r="AI27" i="3" a="1"/>
  <c r="AI28" i="3" a="1"/>
  <c r="P2" i="3" a="1"/>
  <c r="H10" i="6"/>
  <c r="I10" i="6"/>
  <c r="H6" i="6"/>
  <c r="I6" i="6"/>
  <c r="H47" i="6"/>
  <c r="I47" i="6"/>
  <c r="H45" i="6"/>
  <c r="I45" i="6"/>
  <c r="H46" i="6"/>
  <c r="I46" i="6"/>
  <c r="H42" i="6"/>
  <c r="I42" i="6"/>
  <c r="H43" i="6"/>
  <c r="I43" i="6"/>
  <c r="E16" i="3"/>
  <c r="AN16" i="3" a="1"/>
  <c r="H25" i="6"/>
  <c r="I25" i="6"/>
  <c r="H26" i="6"/>
  <c r="I26" i="6"/>
  <c r="H27" i="6"/>
  <c r="I27" i="6"/>
  <c r="H19" i="6"/>
  <c r="I19" i="6"/>
  <c r="H4" i="6"/>
  <c r="H5" i="6"/>
  <c r="H9" i="6"/>
  <c r="H8" i="6"/>
  <c r="H12" i="6"/>
  <c r="H13" i="6"/>
  <c r="H11" i="6"/>
  <c r="H15" i="6"/>
  <c r="H16" i="6"/>
  <c r="H14" i="6"/>
  <c r="H20" i="6"/>
  <c r="H21" i="6"/>
  <c r="H18" i="6"/>
  <c r="H17" i="6"/>
  <c r="H24" i="6"/>
  <c r="H23" i="6"/>
  <c r="H22" i="6"/>
  <c r="H29" i="6"/>
  <c r="H28" i="6"/>
  <c r="H30" i="6"/>
  <c r="H32" i="6"/>
  <c r="H31" i="6"/>
  <c r="H33" i="6"/>
  <c r="H34" i="6"/>
  <c r="H36" i="6"/>
  <c r="H35" i="6"/>
  <c r="H38" i="6"/>
  <c r="H39" i="6"/>
  <c r="H37" i="6"/>
  <c r="H41" i="6"/>
  <c r="H40" i="6"/>
  <c r="H44" i="6"/>
  <c r="H51" i="6"/>
  <c r="H50" i="6"/>
  <c r="H49" i="6"/>
  <c r="H48" i="6"/>
  <c r="H53" i="6"/>
  <c r="H54" i="6"/>
  <c r="H52" i="6"/>
  <c r="H55" i="6"/>
  <c r="H56" i="6"/>
  <c r="H59" i="6"/>
  <c r="H57" i="6"/>
  <c r="H58" i="6"/>
  <c r="H7" i="6"/>
  <c r="I4" i="6"/>
  <c r="I5" i="6"/>
  <c r="I9" i="6"/>
  <c r="I8" i="6"/>
  <c r="I12" i="6"/>
  <c r="I13" i="6"/>
  <c r="I11" i="6"/>
  <c r="I15" i="6"/>
  <c r="I16" i="6"/>
  <c r="I14" i="6"/>
  <c r="I20" i="6"/>
  <c r="I21" i="6"/>
  <c r="I18" i="6"/>
  <c r="I17" i="6"/>
  <c r="I24" i="6"/>
  <c r="I23" i="6"/>
  <c r="I22" i="6"/>
  <c r="I29" i="6"/>
  <c r="I28" i="6"/>
  <c r="I30" i="6"/>
  <c r="I32" i="6"/>
  <c r="I31" i="6"/>
  <c r="I33" i="6"/>
  <c r="I34" i="6"/>
  <c r="I36" i="6"/>
  <c r="I35" i="6"/>
  <c r="I38" i="6"/>
  <c r="I39" i="6"/>
  <c r="I37" i="6"/>
  <c r="I41" i="6"/>
  <c r="I40" i="6"/>
  <c r="I44" i="6"/>
  <c r="I51" i="6"/>
  <c r="I50" i="6"/>
  <c r="I49" i="6"/>
  <c r="I48" i="6"/>
  <c r="I53" i="6"/>
  <c r="I54" i="6"/>
  <c r="I52" i="6"/>
  <c r="I55" i="6"/>
  <c r="I56" i="6"/>
  <c r="I59" i="6"/>
  <c r="I57" i="6"/>
  <c r="I58" i="6"/>
  <c r="I7" i="6"/>
  <c r="C18" i="1"/>
  <c r="E24" i="3"/>
  <c r="AN24" i="3" a="1"/>
  <c r="AN24" i="3" s="1"/>
  <c r="B2" i="2" a="1"/>
  <c r="B2" i="2" s="1"/>
  <c r="I11" i="2" a="1"/>
  <c r="I11" i="2" s="1"/>
  <c r="K2" i="2" a="1"/>
  <c r="K2" i="2" s="1"/>
  <c r="Q9" i="2" a="1"/>
  <c r="Q9" i="2" s="1"/>
  <c r="Q10" i="2" a="1"/>
  <c r="Q10" i="2" s="1"/>
  <c r="Q11" i="2" a="1"/>
  <c r="Q11" i="2" s="1"/>
  <c r="Q12" i="2" a="1"/>
  <c r="Q12" i="2" s="1"/>
  <c r="Q13" i="2" a="1"/>
  <c r="Q13" i="2" s="1"/>
  <c r="I9" i="2" a="1"/>
  <c r="I9" i="2" s="1"/>
  <c r="I10" i="2" a="1"/>
  <c r="I10" i="2" s="1"/>
  <c r="I12" i="2" a="1"/>
  <c r="I12" i="2" s="1"/>
  <c r="I13" i="2" a="1"/>
  <c r="I13" i="2" s="1"/>
  <c r="M12" i="2"/>
  <c r="M13" i="2"/>
  <c r="D12" i="2"/>
  <c r="D13" i="2"/>
  <c r="E12" i="2"/>
  <c r="E13" i="2"/>
  <c r="H12" i="2"/>
  <c r="H13" i="2"/>
  <c r="E8" i="3"/>
  <c r="E9" i="3"/>
  <c r="E10" i="3"/>
  <c r="E11" i="3"/>
  <c r="E12" i="3"/>
  <c r="E13" i="3"/>
  <c r="E14" i="3"/>
  <c r="E15" i="3"/>
  <c r="E17" i="3"/>
  <c r="E18" i="3"/>
  <c r="E19" i="3"/>
  <c r="E20" i="3"/>
  <c r="E21" i="3"/>
  <c r="E22" i="3"/>
  <c r="E23" i="3"/>
  <c r="E25" i="3"/>
  <c r="E26" i="3"/>
  <c r="E27" i="3"/>
  <c r="E28" i="3"/>
  <c r="AN27" i="3" a="1"/>
  <c r="AN27" i="3" s="1"/>
  <c r="AN26" i="3" a="1"/>
  <c r="AN26" i="3" s="1"/>
  <c r="AN28" i="3" a="1"/>
  <c r="AN28" i="3" s="1"/>
  <c r="AN23" i="3" a="1"/>
  <c r="AN23" i="3" s="1"/>
  <c r="AN20" i="3" a="1"/>
  <c r="AN20" i="3" s="1"/>
  <c r="AN22" i="3" a="1"/>
  <c r="AN22" i="3" s="1"/>
  <c r="O36" i="3" a="1"/>
  <c r="O36" i="3" s="1"/>
  <c r="O37" i="3"/>
  <c r="AN25" i="3" a="1"/>
  <c r="AN25" i="3" s="1"/>
  <c r="K2" i="4"/>
  <c r="K6" i="4" a="1"/>
  <c r="K6" i="4" s="1"/>
  <c r="K7" i="4" a="1"/>
  <c r="K7" i="4" s="1"/>
  <c r="K8" i="4" a="1"/>
  <c r="K8" i="4" s="1"/>
  <c r="K9" i="4" a="1"/>
  <c r="K9" i="4" s="1"/>
  <c r="K10" i="4" a="1"/>
  <c r="K10" i="4" s="1"/>
  <c r="K11" i="4" a="1"/>
  <c r="K11" i="4" s="1"/>
  <c r="K12" i="4" a="1"/>
  <c r="K12" i="4" s="1"/>
  <c r="K13" i="4" a="1"/>
  <c r="K13" i="4" s="1"/>
  <c r="K14" i="4" a="1"/>
  <c r="K14" i="4" s="1"/>
  <c r="K15" i="4" a="1"/>
  <c r="K15" i="4" s="1"/>
  <c r="I6" i="4"/>
  <c r="I7" i="4"/>
  <c r="I8" i="4"/>
  <c r="I9" i="4"/>
  <c r="I10" i="4"/>
  <c r="I11" i="4"/>
  <c r="I12" i="4"/>
  <c r="I13" i="4"/>
  <c r="I14" i="4"/>
  <c r="I15" i="4"/>
  <c r="AN19" i="3" a="1"/>
  <c r="AN19" i="3" s="1"/>
  <c r="AN17" i="3" a="1"/>
  <c r="AN17" i="3" s="1"/>
  <c r="AN18" i="3" a="1"/>
  <c r="AN18" i="3" s="1"/>
  <c r="AN8" i="3" a="1"/>
  <c r="AN8" i="3" s="1"/>
  <c r="AN11" i="3" a="1"/>
  <c r="AN11" i="3" s="1"/>
  <c r="AN9" i="3" a="1"/>
  <c r="AN9" i="3" s="1"/>
  <c r="N4" i="1" a="1"/>
  <c r="N4" i="1" s="1"/>
  <c r="N5" i="1" a="1"/>
  <c r="N5" i="1" s="1"/>
  <c r="N6" i="1" a="1"/>
  <c r="N6" i="1" s="1"/>
  <c r="N9" i="1" a="1"/>
  <c r="N9" i="1" s="1"/>
  <c r="N10" i="1" a="1"/>
  <c r="N10" i="1" s="1"/>
  <c r="N11" i="1" a="1"/>
  <c r="N11" i="1" s="1"/>
  <c r="N12" i="1" a="1"/>
  <c r="N12" i="1" s="1"/>
  <c r="N13" i="1" a="1"/>
  <c r="N13" i="1" s="1"/>
  <c r="N14" i="1" a="1"/>
  <c r="N14" i="1" s="1"/>
  <c r="N15" i="1" a="1"/>
  <c r="N15" i="1" s="1"/>
  <c r="N16" i="1" a="1"/>
  <c r="N16" i="1" s="1"/>
  <c r="N18" i="1" a="1"/>
  <c r="N18" i="1" s="1"/>
  <c r="N19" i="1" a="1"/>
  <c r="N19" i="1" s="1"/>
  <c r="N20" i="1" a="1"/>
  <c r="N20" i="1" s="1"/>
  <c r="N21" i="1" a="1"/>
  <c r="N21" i="1" s="1"/>
  <c r="N22" i="1" a="1"/>
  <c r="N22" i="1" s="1"/>
  <c r="N23" i="1" a="1"/>
  <c r="N23" i="1" s="1"/>
  <c r="N24" i="1" a="1"/>
  <c r="N24" i="1" s="1"/>
  <c r="N25" i="1" a="1"/>
  <c r="N25" i="1" s="1"/>
  <c r="D11" i="2"/>
  <c r="E11" i="2"/>
  <c r="H11" i="2"/>
  <c r="M11" i="2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9" i="1"/>
  <c r="C20" i="1"/>
  <c r="C21" i="1"/>
  <c r="C22" i="1"/>
  <c r="C23" i="1"/>
  <c r="C24" i="1"/>
  <c r="C25" i="1"/>
  <c r="J4" i="1" a="1"/>
  <c r="J4" i="1" s="1"/>
  <c r="J5" i="1" a="1"/>
  <c r="J5" i="1" s="1"/>
  <c r="J6" i="1" a="1"/>
  <c r="J6" i="1" s="1"/>
  <c r="J9" i="1" a="1"/>
  <c r="J9" i="1" s="1"/>
  <c r="J10" i="1" a="1"/>
  <c r="J10" i="1" s="1"/>
  <c r="J11" i="1" a="1"/>
  <c r="J11" i="1" s="1"/>
  <c r="J12" i="1" a="1"/>
  <c r="J12" i="1" s="1"/>
  <c r="J13" i="1" a="1"/>
  <c r="J13" i="1" s="1"/>
  <c r="J14" i="1" a="1"/>
  <c r="J14" i="1" s="1"/>
  <c r="J15" i="1" a="1"/>
  <c r="J15" i="1" s="1"/>
  <c r="J16" i="1" a="1"/>
  <c r="J16" i="1" s="1"/>
  <c r="J18" i="1" a="1"/>
  <c r="J18" i="1" s="1"/>
  <c r="J19" i="1" a="1"/>
  <c r="J19" i="1" s="1"/>
  <c r="J20" i="1" a="1"/>
  <c r="J20" i="1" s="1"/>
  <c r="J21" i="1" a="1"/>
  <c r="J21" i="1" s="1"/>
  <c r="J22" i="1" a="1"/>
  <c r="J22" i="1" s="1"/>
  <c r="J23" i="1" a="1"/>
  <c r="J23" i="1" s="1"/>
  <c r="J24" i="1" a="1"/>
  <c r="J24" i="1" s="1"/>
  <c r="J25" i="1" a="1"/>
  <c r="J25" i="1" s="1"/>
  <c r="K4" i="1" a="1"/>
  <c r="K4" i="1" s="1"/>
  <c r="K5" i="1" a="1"/>
  <c r="K5" i="1" s="1"/>
  <c r="K6" i="1" a="1"/>
  <c r="K6" i="1" s="1"/>
  <c r="K9" i="1" a="1"/>
  <c r="K9" i="1" s="1"/>
  <c r="K10" i="1" a="1"/>
  <c r="K10" i="1" s="1"/>
  <c r="K11" i="1" a="1"/>
  <c r="K11" i="1" s="1"/>
  <c r="K12" i="1" a="1"/>
  <c r="K12" i="1" s="1"/>
  <c r="K13" i="1" a="1"/>
  <c r="K13" i="1" s="1"/>
  <c r="K14" i="1" a="1"/>
  <c r="K14" i="1" s="1"/>
  <c r="K15" i="1" a="1"/>
  <c r="K15" i="1" s="1"/>
  <c r="K16" i="1" a="1"/>
  <c r="K16" i="1" s="1"/>
  <c r="K18" i="1" a="1"/>
  <c r="K18" i="1" s="1"/>
  <c r="K19" i="1" a="1"/>
  <c r="K19" i="1" s="1"/>
  <c r="K20" i="1" a="1"/>
  <c r="K20" i="1" s="1"/>
  <c r="K21" i="1" a="1"/>
  <c r="K21" i="1" s="1"/>
  <c r="K22" i="1" a="1"/>
  <c r="K22" i="1" s="1"/>
  <c r="K23" i="1" a="1"/>
  <c r="K23" i="1" s="1"/>
  <c r="K24" i="1" a="1"/>
  <c r="K24" i="1" s="1"/>
  <c r="K25" i="1" a="1"/>
  <c r="K25" i="1" s="1"/>
  <c r="AN13" i="3" a="1"/>
  <c r="AN13" i="3" s="1"/>
  <c r="AN21" i="3" a="1"/>
  <c r="AN21" i="3" s="1"/>
  <c r="AN10" i="3" a="1"/>
  <c r="AN10" i="3" s="1"/>
  <c r="AN12" i="3" a="1"/>
  <c r="AN12" i="3" s="1"/>
  <c r="AN15" i="3" a="1"/>
  <c r="AN15" i="3" s="1"/>
  <c r="AN14" i="3" a="1"/>
  <c r="AN14" i="3" s="1"/>
  <c r="M9" i="2"/>
  <c r="M10" i="2"/>
  <c r="H9" i="2"/>
  <c r="H10" i="2"/>
  <c r="D10" i="2"/>
  <c r="E10" i="2"/>
  <c r="E9" i="2"/>
  <c r="D9" i="2"/>
  <c r="W13" i="3" l="1"/>
  <c r="W18" i="3"/>
  <c r="W22" i="3"/>
  <c r="X11" i="3"/>
  <c r="X12" i="3"/>
  <c r="X14" i="3"/>
  <c r="W21" i="3"/>
  <c r="X13" i="3"/>
  <c r="W25" i="3"/>
  <c r="W26" i="3"/>
  <c r="X8" i="3"/>
  <c r="W15" i="3"/>
  <c r="W16" i="3"/>
  <c r="W24" i="3"/>
  <c r="W17" i="3"/>
  <c r="W27" i="3"/>
  <c r="W28" i="3"/>
  <c r="X10" i="3"/>
  <c r="W12" i="3"/>
  <c r="W19" i="3"/>
  <c r="W20" i="3"/>
  <c r="W23" i="3"/>
  <c r="AB25" i="3"/>
  <c r="AC8" i="3"/>
  <c r="AC13" i="3"/>
  <c r="AB28" i="3"/>
  <c r="AC10" i="3"/>
  <c r="AB23" i="3"/>
  <c r="AB26" i="3"/>
  <c r="AC11" i="3"/>
  <c r="AB24" i="3"/>
  <c r="AC12" i="3"/>
  <c r="AB27" i="3"/>
  <c r="AF26" i="3"/>
  <c r="AG8" i="3"/>
  <c r="AG14" i="3"/>
  <c r="AG19" i="3"/>
  <c r="AG24" i="3"/>
  <c r="AH8" i="3"/>
  <c r="AI26" i="3"/>
  <c r="AH13" i="3"/>
  <c r="AI15" i="3"/>
  <c r="AI20" i="3"/>
  <c r="AI21" i="3"/>
  <c r="AI22" i="3"/>
  <c r="AI28" i="3"/>
  <c r="AF25" i="3"/>
  <c r="AG10" i="3"/>
  <c r="AG13" i="3"/>
  <c r="AG18" i="3"/>
  <c r="AG23" i="3"/>
  <c r="AG28" i="3"/>
  <c r="AI14" i="3"/>
  <c r="AI19" i="3"/>
  <c r="AI25" i="3"/>
  <c r="AF27" i="3"/>
  <c r="AG12" i="3"/>
  <c r="AG17" i="3"/>
  <c r="AG22" i="3"/>
  <c r="AG27" i="3"/>
  <c r="AH11" i="3"/>
  <c r="AI17" i="3"/>
  <c r="AI23" i="3"/>
  <c r="AG15" i="3"/>
  <c r="AG21" i="3"/>
  <c r="AG26" i="3"/>
  <c r="AH12" i="3"/>
  <c r="AI18" i="3"/>
  <c r="AI24" i="3"/>
  <c r="AF28" i="3"/>
  <c r="AG11" i="3"/>
  <c r="AG16" i="3"/>
  <c r="AG20" i="3"/>
  <c r="AG25" i="3"/>
  <c r="AH10" i="3"/>
  <c r="AI16" i="3"/>
  <c r="AI27" i="3"/>
  <c r="AK18" i="3" a="1"/>
  <c r="AK18" i="3" s="1"/>
  <c r="AK19" i="3" a="1"/>
  <c r="AK19" i="3" s="1"/>
  <c r="AN16" i="3"/>
  <c r="P2" i="3"/>
  <c r="J10" i="6"/>
  <c r="K10" i="6" s="1"/>
  <c r="J6" i="6"/>
  <c r="K6" i="6" s="1"/>
  <c r="J47" i="6"/>
  <c r="K47" i="6" s="1"/>
  <c r="J46" i="6"/>
  <c r="K46" i="6" s="1"/>
  <c r="J45" i="6"/>
  <c r="K45" i="6" s="1"/>
  <c r="J42" i="6"/>
  <c r="K42" i="6" s="1"/>
  <c r="J43" i="6"/>
  <c r="K43" i="6" s="1"/>
  <c r="J25" i="6"/>
  <c r="K25" i="6" s="1"/>
  <c r="J26" i="6"/>
  <c r="K26" i="6" s="1"/>
  <c r="J27" i="6"/>
  <c r="K27" i="6" s="1"/>
  <c r="J19" i="6"/>
  <c r="K19" i="6" s="1"/>
  <c r="J53" i="6"/>
  <c r="K53" i="6" s="1"/>
  <c r="J58" i="6"/>
  <c r="K58" i="6" s="1"/>
  <c r="J49" i="6"/>
  <c r="K49" i="6" s="1"/>
  <c r="J54" i="6"/>
  <c r="K54" i="6" s="1"/>
  <c r="J55" i="6"/>
  <c r="K55" i="6" s="1"/>
  <c r="J57" i="6"/>
  <c r="K57" i="6" s="1"/>
  <c r="J48" i="6"/>
  <c r="K48" i="6" s="1"/>
  <c r="J52" i="6"/>
  <c r="K52" i="6" s="1"/>
  <c r="J56" i="6"/>
  <c r="K56" i="6" s="1"/>
  <c r="J7" i="6"/>
  <c r="K7" i="6" s="1"/>
  <c r="J5" i="6"/>
  <c r="K5" i="6" s="1"/>
  <c r="J11" i="6"/>
  <c r="K11" i="6" s="1"/>
  <c r="J14" i="6"/>
  <c r="K14" i="6" s="1"/>
  <c r="J24" i="6"/>
  <c r="K24" i="6" s="1"/>
  <c r="J28" i="6"/>
  <c r="K28" i="6" s="1"/>
  <c r="J34" i="6"/>
  <c r="K34" i="6" s="1"/>
  <c r="J39" i="6"/>
  <c r="K39" i="6" s="1"/>
  <c r="J44" i="6"/>
  <c r="K44" i="6" s="1"/>
  <c r="J8" i="6"/>
  <c r="K8" i="6" s="1"/>
  <c r="J16" i="6"/>
  <c r="K16" i="6" s="1"/>
  <c r="J18" i="6"/>
  <c r="K18" i="6" s="1"/>
  <c r="J23" i="6"/>
  <c r="K23" i="6" s="1"/>
  <c r="J30" i="6"/>
  <c r="K30" i="6" s="1"/>
  <c r="J33" i="6"/>
  <c r="K33" i="6" s="1"/>
  <c r="J38" i="6"/>
  <c r="K38" i="6" s="1"/>
  <c r="J40" i="6"/>
  <c r="K40" i="6" s="1"/>
  <c r="J9" i="6"/>
  <c r="K9" i="6" s="1"/>
  <c r="J50" i="6"/>
  <c r="K50" i="6" s="1"/>
  <c r="J12" i="6"/>
  <c r="K12" i="6" s="1"/>
  <c r="J20" i="6"/>
  <c r="K20" i="6" s="1"/>
  <c r="J22" i="6"/>
  <c r="K22" i="6" s="1"/>
  <c r="J31" i="6"/>
  <c r="K31" i="6" s="1"/>
  <c r="J35" i="6"/>
  <c r="K35" i="6" s="1"/>
  <c r="J41" i="6"/>
  <c r="K41" i="6" s="1"/>
  <c r="J51" i="6"/>
  <c r="K51" i="6" s="1"/>
  <c r="J4" i="6"/>
  <c r="K4" i="6" s="1"/>
  <c r="J13" i="6"/>
  <c r="K13" i="6" s="1"/>
  <c r="J15" i="6"/>
  <c r="K15" i="6" s="1"/>
  <c r="J21" i="6"/>
  <c r="K21" i="6" s="1"/>
  <c r="J17" i="6"/>
  <c r="K17" i="6" s="1"/>
  <c r="J29" i="6"/>
  <c r="K29" i="6" s="1"/>
  <c r="J32" i="6"/>
  <c r="K32" i="6" s="1"/>
  <c r="J36" i="6"/>
  <c r="K36" i="6" s="1"/>
  <c r="J37" i="6"/>
  <c r="K37" i="6" s="1"/>
  <c r="J59" i="6"/>
  <c r="K59" i="6" s="1"/>
  <c r="K4" i="2"/>
  <c r="B4" i="2"/>
  <c r="C2" i="3" a="1"/>
  <c r="C2" i="3" s="1"/>
  <c r="AI18" i="1" a="1"/>
  <c r="AI18" i="1" s="1"/>
  <c r="AK8" i="3" l="1" a="1"/>
  <c r="AK8" i="3" s="1"/>
  <c r="AK11" i="3" a="1"/>
  <c r="AK11" i="3" s="1"/>
  <c r="AM11" i="3" a="1"/>
  <c r="AM11" i="3" s="1"/>
  <c r="AJ17" i="3" a="1"/>
  <c r="AJ17" i="3" s="1"/>
  <c r="AJ16" i="3" a="1"/>
  <c r="AJ16" i="3" s="1"/>
  <c r="AJ19" i="3" a="1"/>
  <c r="AJ19" i="3" s="1"/>
  <c r="AJ28" i="3" a="1"/>
  <c r="AJ28" i="3" s="1"/>
  <c r="AM8" i="3" a="1"/>
  <c r="AM8" i="3" s="1"/>
  <c r="AM9" i="3" a="1"/>
  <c r="AM9" i="3" s="1"/>
  <c r="AM13" i="3" a="1"/>
  <c r="AM13" i="3" s="1"/>
  <c r="AM17" i="3" a="1"/>
  <c r="AM17" i="3" s="1"/>
  <c r="AM15" i="3" a="1"/>
  <c r="AM15" i="3" s="1"/>
  <c r="AM14" i="3" a="1"/>
  <c r="AM14" i="3" s="1"/>
  <c r="AM12" i="3" a="1"/>
  <c r="AM12" i="3" s="1"/>
  <c r="AM24" i="3" a="1"/>
  <c r="AM24" i="3" s="1"/>
  <c r="AJ26" i="3" a="1"/>
  <c r="AJ26" i="3" s="1"/>
  <c r="AJ27" i="3" a="1"/>
  <c r="AJ27" i="3" s="1"/>
  <c r="AJ24" i="3" a="1"/>
  <c r="AJ24" i="3" s="1"/>
  <c r="AJ22" i="3" a="1"/>
  <c r="AJ22" i="3" s="1"/>
  <c r="AK14" i="3" a="1"/>
  <c r="AK14" i="3" s="1"/>
  <c r="AM20" i="3" a="1"/>
  <c r="AM20" i="3" s="1"/>
  <c r="AM21" i="3" a="1"/>
  <c r="AM21" i="3" s="1"/>
  <c r="AM18" i="3" a="1"/>
  <c r="AM18" i="3" s="1"/>
  <c r="AM19" i="3" a="1"/>
  <c r="AM19" i="3" s="1"/>
  <c r="AL12" i="3" a="1"/>
  <c r="AL12" i="3" s="1"/>
  <c r="AL11" i="3" a="1"/>
  <c r="AL11" i="3" s="1"/>
  <c r="AL9" i="3" a="1"/>
  <c r="AL9" i="3" s="1"/>
  <c r="AK15" i="3" a="1"/>
  <c r="AK15" i="3" s="1"/>
  <c r="AM22" i="3" a="1"/>
  <c r="AM22" i="3" s="1"/>
  <c r="AK25" i="3" a="1"/>
  <c r="AK25" i="3" s="1"/>
  <c r="AJ10" i="3" a="1"/>
  <c r="AJ10" i="3" s="1"/>
  <c r="AM16" i="3" a="1"/>
  <c r="AK13" i="3" a="1"/>
  <c r="AK13" i="3" s="1"/>
  <c r="AM23" i="3" a="1"/>
  <c r="AM23" i="3" s="1"/>
  <c r="AM25" i="3" a="1"/>
  <c r="AM25" i="3" s="1"/>
  <c r="AM27" i="3" a="1"/>
  <c r="AM27" i="3" s="1"/>
  <c r="AM26" i="3" a="1"/>
  <c r="AM26" i="3" s="1"/>
  <c r="AM28" i="3" a="1"/>
  <c r="AM28" i="3" s="1"/>
  <c r="AL8" i="3" a="1"/>
  <c r="AL8" i="3" s="1"/>
  <c r="AL18" i="3" a="1"/>
  <c r="AL18" i="3" s="1"/>
  <c r="AL19" i="3" a="1"/>
  <c r="AL19" i="3" s="1"/>
  <c r="AL17" i="3" a="1"/>
  <c r="AL17" i="3" s="1"/>
  <c r="AL22" i="3" a="1"/>
  <c r="AL22" i="3" s="1"/>
  <c r="AL16" i="3" a="1"/>
  <c r="AL24" i="3" a="1"/>
  <c r="AL24" i="3" s="1"/>
  <c r="AL20" i="3" a="1"/>
  <c r="AL20" i="3" s="1"/>
  <c r="AL27" i="3" a="1"/>
  <c r="AL27" i="3" s="1"/>
  <c r="AL26" i="3" a="1"/>
  <c r="AL26" i="3" s="1"/>
  <c r="AL23" i="3" a="1"/>
  <c r="AL23" i="3" s="1"/>
  <c r="AL21" i="3" a="1"/>
  <c r="AL21" i="3" s="1"/>
  <c r="AL10" i="3" a="1"/>
  <c r="AL10" i="3" s="1"/>
  <c r="AK12" i="3" a="1"/>
  <c r="AK12" i="3" s="1"/>
  <c r="AK21" i="3" a="1"/>
  <c r="AK21" i="3" s="1"/>
  <c r="AJ11" i="3" a="1"/>
  <c r="AJ11" i="3" s="1"/>
  <c r="AK10" i="3" a="1"/>
  <c r="AK10" i="3" s="1"/>
  <c r="AK17" i="3" a="1"/>
  <c r="AK17" i="3" s="1"/>
  <c r="AK24" i="3" a="1"/>
  <c r="AK24" i="3" s="1"/>
  <c r="AK16" i="3" a="1"/>
  <c r="AK23" i="3" a="1"/>
  <c r="AK23" i="3" s="1"/>
  <c r="AK26" i="3" a="1"/>
  <c r="AK26" i="3" s="1"/>
  <c r="AK20" i="3" a="1"/>
  <c r="AK20" i="3" s="1"/>
  <c r="AK27" i="3" a="1"/>
  <c r="AK27" i="3" s="1"/>
  <c r="AK28" i="3" a="1"/>
  <c r="AK28" i="3" s="1"/>
  <c r="AK22" i="3" a="1"/>
  <c r="AK22" i="3" s="1"/>
  <c r="AK9" i="3" a="1"/>
  <c r="AK9" i="3" s="1"/>
  <c r="AJ12" i="3" a="1"/>
  <c r="AJ12" i="3" s="1"/>
  <c r="AJ15" i="3" a="1"/>
  <c r="AJ15" i="3" s="1"/>
  <c r="AJ14" i="3" a="1"/>
  <c r="AJ14" i="3" s="1"/>
  <c r="AJ25" i="3" a="1"/>
  <c r="AJ25" i="3" s="1"/>
  <c r="AJ20" i="3" a="1"/>
  <c r="AJ20" i="3" s="1"/>
  <c r="AJ23" i="3" a="1"/>
  <c r="AJ23" i="3" s="1"/>
  <c r="AJ9" i="3" a="1"/>
  <c r="AJ9" i="3" s="1"/>
  <c r="AJ13" i="3" a="1"/>
  <c r="AJ13" i="3" s="1"/>
  <c r="AJ21" i="3" a="1"/>
  <c r="AJ21" i="3" s="1"/>
  <c r="AL14" i="3" a="1"/>
  <c r="AL14" i="3" s="1"/>
  <c r="AL13" i="3" a="1"/>
  <c r="AL13" i="3" s="1"/>
  <c r="AL15" i="3" a="1"/>
  <c r="AL15" i="3" s="1"/>
  <c r="AL25" i="3" a="1"/>
  <c r="AL25" i="3" s="1"/>
  <c r="AL28" i="3" a="1"/>
  <c r="AL28" i="3" s="1"/>
  <c r="AJ8" i="3" a="1"/>
  <c r="AJ8" i="3" s="1"/>
  <c r="AJ18" i="3" a="1"/>
  <c r="AJ18" i="3" s="1"/>
  <c r="AM10" i="3" a="1"/>
  <c r="AM10" i="3" s="1"/>
  <c r="O43" i="3" a="1"/>
  <c r="O43" i="3" s="1"/>
  <c r="AO11" i="3" l="1" a="1"/>
  <c r="AO11" i="3" s="1"/>
  <c r="AP11" i="3" s="1" a="1"/>
  <c r="AP11" i="3" s="1"/>
  <c r="AM16" i="3"/>
  <c r="AO12" i="3" a="1"/>
  <c r="AO12" i="3" s="1"/>
  <c r="AP12" i="3" s="1" a="1"/>
  <c r="AP12" i="3" s="1"/>
  <c r="AO20" i="3" a="1"/>
  <c r="AO20" i="3" s="1"/>
  <c r="AP20" i="3" s="1" a="1"/>
  <c r="AP20" i="3" s="1"/>
  <c r="AO17" i="3" a="1"/>
  <c r="AO17" i="3" s="1"/>
  <c r="AP17" i="3" s="1" a="1"/>
  <c r="AP17" i="3" s="1"/>
  <c r="AO19" i="3" a="1"/>
  <c r="AO19" i="3" s="1"/>
  <c r="AP19" i="3" s="1" a="1"/>
  <c r="AP19" i="3" s="1"/>
  <c r="AK16" i="3"/>
  <c r="AL16" i="3"/>
  <c r="X17" i="1" a="1"/>
  <c r="X17" i="1" s="1"/>
  <c r="AO23" i="3" a="1"/>
  <c r="AO23" i="3" s="1"/>
  <c r="AP23" i="3" s="1" a="1"/>
  <c r="AP23" i="3" s="1"/>
  <c r="AO22" i="3" a="1"/>
  <c r="AO22" i="3" s="1"/>
  <c r="AP22" i="3" s="1" a="1"/>
  <c r="AP22" i="3" s="1"/>
  <c r="AO27" i="3" a="1"/>
  <c r="AO27" i="3" s="1"/>
  <c r="AP27" i="3" s="1" a="1"/>
  <c r="AP27" i="3" s="1"/>
  <c r="AO24" i="3" a="1"/>
  <c r="AO24" i="3" s="1"/>
  <c r="AP24" i="3" s="1" a="1"/>
  <c r="AP24" i="3" s="1"/>
  <c r="AO26" i="3" a="1"/>
  <c r="AO26" i="3" s="1"/>
  <c r="AP26" i="3" s="1" a="1"/>
  <c r="AP26" i="3" s="1"/>
  <c r="AO13" i="3" a="1"/>
  <c r="AO13" i="3" s="1"/>
  <c r="AP13" i="3" s="1" a="1"/>
  <c r="AP13" i="3" s="1"/>
  <c r="AO21" i="3" a="1"/>
  <c r="AO21" i="3" s="1"/>
  <c r="AP21" i="3" s="1" a="1"/>
  <c r="AP21" i="3" s="1"/>
  <c r="AE17" i="1" s="1" a="1"/>
  <c r="U17" i="1" a="1"/>
  <c r="U17" i="1" s="1"/>
  <c r="G17" i="1" a="1"/>
  <c r="G17" i="1" s="1"/>
  <c r="P17" i="1" a="1"/>
  <c r="P17" i="1" s="1"/>
  <c r="T17" i="1" a="1"/>
  <c r="T17" i="1" s="1"/>
  <c r="J17" i="1" a="1"/>
  <c r="J17" i="1" s="1"/>
  <c r="S17" i="1" a="1"/>
  <c r="S17" i="1" s="1"/>
  <c r="K17" i="1" a="1"/>
  <c r="K17" i="1" s="1"/>
  <c r="I17" i="1" a="1"/>
  <c r="I17" i="1" s="1"/>
  <c r="R17" i="1" a="1"/>
  <c r="R17" i="1" s="1"/>
  <c r="Y17" i="1" a="1"/>
  <c r="Y17" i="1" s="1"/>
  <c r="N17" i="1" a="1"/>
  <c r="N17" i="1" s="1"/>
  <c r="J8" i="1" a="1"/>
  <c r="J8" i="1" s="1"/>
  <c r="F17" i="1" a="1"/>
  <c r="F17" i="1" s="1"/>
  <c r="Q17" i="1" a="1"/>
  <c r="Q17" i="1" s="1"/>
  <c r="Z17" i="1" a="1"/>
  <c r="Z17" i="1" s="1"/>
  <c r="AA17" i="1" a="1"/>
  <c r="AA17" i="1" s="1"/>
  <c r="O17" i="1" a="1"/>
  <c r="O17" i="1" s="1"/>
  <c r="W17" i="1" a="1"/>
  <c r="W17" i="1" s="1"/>
  <c r="D17" i="1" a="1"/>
  <c r="D17" i="1" s="1"/>
  <c r="V17" i="1" a="1"/>
  <c r="V17" i="1" s="1"/>
  <c r="AB17" i="1" a="1"/>
  <c r="AB17" i="1" s="1"/>
  <c r="L17" i="1" a="1"/>
  <c r="L17" i="1" s="1"/>
  <c r="N8" i="1" a="1"/>
  <c r="N8" i="1" s="1"/>
  <c r="K8" i="1" a="1"/>
  <c r="K8" i="1" s="1"/>
  <c r="E17" i="1" a="1"/>
  <c r="E17" i="1" s="1"/>
  <c r="H17" i="1" a="1"/>
  <c r="H17" i="1" s="1"/>
  <c r="M17" i="1" a="1"/>
  <c r="M17" i="1" s="1"/>
  <c r="AO18" i="3" a="1"/>
  <c r="AO18" i="3" s="1"/>
  <c r="AP18" i="3" s="1" a="1"/>
  <c r="AP18" i="3" s="1"/>
  <c r="AO15" i="3" a="1"/>
  <c r="AO15" i="3" s="1"/>
  <c r="AP15" i="3" s="1" a="1"/>
  <c r="AP15" i="3" s="1"/>
  <c r="AO8" i="3" a="1"/>
  <c r="AO8" i="3" s="1"/>
  <c r="AP8" i="3" s="1" a="1"/>
  <c r="AP8" i="3" s="1"/>
  <c r="AO9" i="3" a="1"/>
  <c r="AO9" i="3" s="1"/>
  <c r="AP9" i="3" s="1" a="1"/>
  <c r="AP9" i="3" s="1"/>
  <c r="AO25" i="3" a="1"/>
  <c r="AO25" i="3" s="1"/>
  <c r="AP25" i="3" s="1" a="1"/>
  <c r="AP25" i="3" s="1"/>
  <c r="AO14" i="3" a="1"/>
  <c r="AO14" i="3" s="1"/>
  <c r="AP14" i="3" s="1" a="1"/>
  <c r="AP14" i="3" s="1"/>
  <c r="AO28" i="3" a="1"/>
  <c r="AO28" i="3" s="1"/>
  <c r="AP28" i="3" s="1" a="1"/>
  <c r="AP28" i="3" s="1"/>
  <c r="G7" i="1" a="1"/>
  <c r="AO10" i="3" a="1"/>
  <c r="AO10" i="3" s="1"/>
  <c r="AP10" i="3" s="1" a="1"/>
  <c r="AP10" i="3" s="1"/>
  <c r="AB7" i="1" a="1"/>
  <c r="AB7" i="1" s="1"/>
  <c r="Z7" i="1" a="1"/>
  <c r="Z7" i="1" s="1"/>
  <c r="X7" i="1" a="1"/>
  <c r="X7" i="1" s="1"/>
  <c r="W7" i="1" a="1"/>
  <c r="W7" i="1" s="1"/>
  <c r="V7" i="1" a="1"/>
  <c r="V7" i="1" s="1"/>
  <c r="H7" i="1" a="1"/>
  <c r="H7" i="1" s="1"/>
  <c r="AA7" i="1" a="1"/>
  <c r="AA7" i="1" s="1"/>
  <c r="Y7" i="1" a="1"/>
  <c r="Y7" i="1" s="1"/>
  <c r="U7" i="1" a="1"/>
  <c r="U7" i="1" s="1"/>
  <c r="T7" i="1" a="1"/>
  <c r="T7" i="1" s="1"/>
  <c r="S7" i="1" a="1"/>
  <c r="S7" i="1" s="1"/>
  <c r="R7" i="1" a="1"/>
  <c r="R7" i="1" s="1"/>
  <c r="Q7" i="1" a="1"/>
  <c r="Q7" i="1" s="1"/>
  <c r="P7" i="1" a="1"/>
  <c r="P7" i="1" s="1"/>
  <c r="O7" i="1" a="1"/>
  <c r="O7" i="1" s="1"/>
  <c r="M7" i="1" a="1"/>
  <c r="L7" i="1" a="1"/>
  <c r="L7" i="1" s="1"/>
  <c r="J7" i="1" a="1"/>
  <c r="J7" i="1" s="1"/>
  <c r="I7" i="1" a="1"/>
  <c r="I7" i="1" s="1"/>
  <c r="F7" i="1" a="1"/>
  <c r="F7" i="1" s="1"/>
  <c r="E7" i="1" a="1"/>
  <c r="E7" i="1" s="1"/>
  <c r="D7" i="1" a="1"/>
  <c r="D7" i="1" s="1"/>
  <c r="K7" i="1" a="1"/>
  <c r="K7" i="1" s="1"/>
  <c r="N7" i="1" a="1"/>
  <c r="N7" i="1" s="1"/>
  <c r="AO16" i="3" l="1" a="1"/>
  <c r="AE17" i="1"/>
  <c r="N41" i="1"/>
  <c r="N40" i="1"/>
  <c r="N39" i="1"/>
  <c r="N38" i="1"/>
  <c r="G7" i="1"/>
  <c r="M7" i="1"/>
  <c r="AO16" i="3" l="1"/>
  <c r="AP16" i="3" s="1" a="1"/>
  <c r="AP16" i="3" s="1"/>
  <c r="C4" i="3" l="1" a="1"/>
  <c r="C4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50D998B-A519-4B86-9630-17722B651EDA}" keepAlive="1" name="Query - Table7" description="Connection to the 'Table7' query in the workbook." type="5" refreshedVersion="8" background="1" saveData="1">
    <dbPr connection="Provider=Microsoft.Mashup.OleDb.1;Data Source=$Workbook$;Location=Table7;Extended Properties=&quot;&quot;" command="SELECT * FROM [Table7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<sst xmlns="http://schemas.openxmlformats.org/spreadsheetml/2006/main" count="1109" uniqueCount="365">
  <si>
    <t>Metallic</t>
  </si>
  <si>
    <t>Carbonic</t>
  </si>
  <si>
    <t>Oxide</t>
  </si>
  <si>
    <t>Vulcanis</t>
  </si>
  <si>
    <t>Fulgora</t>
  </si>
  <si>
    <t>Gleba</t>
  </si>
  <si>
    <t>Aquilo</t>
  </si>
  <si>
    <t>Dormant Pentapod Egg</t>
  </si>
  <si>
    <t>(tbd) ammonia</t>
  </si>
  <si>
    <t>(tbd) flourine</t>
  </si>
  <si>
    <t>(tbd) lithium</t>
  </si>
  <si>
    <t>Promethium</t>
  </si>
  <si>
    <t>(tbd) promethium</t>
  </si>
  <si>
    <t>x</t>
  </si>
  <si>
    <t>Oil Thing</t>
  </si>
  <si>
    <t>Carbonic, Adv</t>
  </si>
  <si>
    <t>Metallic, Adv</t>
  </si>
  <si>
    <t>Oxide, Adv</t>
  </si>
  <si>
    <t>x?</t>
  </si>
  <si>
    <t>Holmium Solution</t>
  </si>
  <si>
    <t>Crude?, Adv</t>
  </si>
  <si>
    <t>Gleba, Adv</t>
  </si>
  <si>
    <t>Aquilo, Adv</t>
  </si>
  <si>
    <t>Recipe</t>
  </si>
  <si>
    <t>Nauvis, Special</t>
  </si>
  <si>
    <t>Vulcanus, Special</t>
  </si>
  <si>
    <t>Fulgora, Special</t>
  </si>
  <si>
    <t>Gleba, Special</t>
  </si>
  <si>
    <t>Aquilo, Special</t>
  </si>
  <si>
    <t>type</t>
  </si>
  <si>
    <t>name</t>
  </si>
  <si>
    <t>subgroup</t>
  </si>
  <si>
    <t>order</t>
  </si>
  <si>
    <t>icon</t>
  </si>
  <si>
    <t>stack_size</t>
  </si>
  <si>
    <t>"f"</t>
  </si>
  <si>
    <t>"n"</t>
  </si>
  <si>
    <t>enabled</t>
  </si>
  <si>
    <t>false</t>
  </si>
  <si>
    <t>{ { type = "item", name = "nauvis_asteroid_chunk_item", amount = 1 } }</t>
  </si>
  <si>
    <t>Basic Nauvis Crushing</t>
  </si>
  <si>
    <t>?</t>
  </si>
  <si>
    <t>Results 1</t>
  </si>
  <si>
    <t>Results 2</t>
  </si>
  <si>
    <t>Results 3</t>
  </si>
  <si>
    <t>Results 4</t>
  </si>
  <si>
    <t>Adv Nauvis Crushing</t>
  </si>
  <si>
    <t>{ type = "item", name = "stone", amount_min = 4, amount_max = 8 }</t>
  </si>
  <si>
    <t>{ type = "item", name = "uranium-ore", amount_min = 0, amount_max = 4, probability = 0.25}</t>
  </si>
  <si>
    <t>Crude Asteroid Crushing</t>
  </si>
  <si>
    <t>Basic Vulcanic Crushing</t>
  </si>
  <si>
    <t>Basic Fulgoran Crushing</t>
  </si>
  <si>
    <t>Basic Gleba Crushing</t>
  </si>
  <si>
    <t>Unwritten?</t>
  </si>
  <si>
    <t>nauvis_asteroid_chunk_item</t>
  </si>
  <si>
    <t>crude_asteroid_chunk_item</t>
  </si>
  <si>
    <t>gleba_asteroid_chunk_item</t>
  </si>
  <si>
    <t>energy_required</t>
  </si>
  <si>
    <t>Ingredient 1</t>
  </si>
  <si>
    <t>Ingredient 2</t>
  </si>
  <si>
    <t>metallic-astroid-chunk</t>
  </si>
  <si>
    <t>Ingredient String</t>
  </si>
  <si>
    <t>Ingredient 1 Amount</t>
  </si>
  <si>
    <t>Ingredient 2 Amount</t>
  </si>
  <si>
    <t xml:space="preserve">=FILTER(Table7[[Results 1]:[Results 4]], Table7[Recipe] = </t>
  </si>
  <si>
    <t>uranium-ore</t>
  </si>
  <si>
    <t>stone</t>
  </si>
  <si>
    <t>iron-ore</t>
  </si>
  <si>
    <t>copper-ore</t>
  </si>
  <si>
    <t>carbon</t>
  </si>
  <si>
    <t>sulfur</t>
  </si>
  <si>
    <t>ice</t>
  </si>
  <si>
    <t>calcite</t>
  </si>
  <si>
    <t>coal</t>
  </si>
  <si>
    <t>uranium-238</t>
  </si>
  <si>
    <t>uranium-235</t>
  </si>
  <si>
    <t>tungsten-ore</t>
  </si>
  <si>
    <t>lava</t>
  </si>
  <si>
    <t>scrap</t>
  </si>
  <si>
    <t>yumako-seed</t>
  </si>
  <si>
    <t>jellynut-seed</t>
  </si>
  <si>
    <t>spoilage</t>
  </si>
  <si>
    <t>solid-fuel</t>
  </si>
  <si>
    <t>"v"</t>
  </si>
  <si>
    <t>Result_1_amt_min</t>
  </si>
  <si>
    <t>Result_2_amt_min</t>
  </si>
  <si>
    <t>Result_3_amt_min</t>
  </si>
  <si>
    <t>Result_4_amt_min</t>
  </si>
  <si>
    <t>Result_1_amt_max</t>
  </si>
  <si>
    <t>Result_2_amt_max</t>
  </si>
  <si>
    <t>Result_3_amt_max</t>
  </si>
  <si>
    <t>Result_4_amt_max</t>
  </si>
  <si>
    <t>Result_1_P</t>
  </si>
  <si>
    <t>Result_2_P</t>
  </si>
  <si>
    <t>Result_3_P</t>
  </si>
  <si>
    <t>Result_4_P</t>
  </si>
  <si>
    <t>Result_1_name</t>
  </si>
  <si>
    <t>Result_2_name</t>
  </si>
  <si>
    <t>Result_3_name</t>
  </si>
  <si>
    <t>Result_4_name</t>
  </si>
  <si>
    <t>Carbonic asteroid crushing</t>
  </si>
  <si>
    <t>Metallic asteroid crushing</t>
  </si>
  <si>
    <t>Oxide asteroid crushing</t>
  </si>
  <si>
    <t>Advanced metallic asteroid crushing</t>
  </si>
  <si>
    <t>Advanced carbonic asteroid crushing</t>
  </si>
  <si>
    <t>Advanced oxide asteroid crushing</t>
  </si>
  <si>
    <t>"metallic-asteroid-crushing"</t>
  </si>
  <si>
    <t>"carbonic-asteroid-crushing"</t>
  </si>
  <si>
    <t>"oxide-asteroid-crushing"</t>
  </si>
  <si>
    <t>"advanced-metallic-asteroid-crushing"</t>
  </si>
  <si>
    <t>"advanced-carbonic-asteroid-crushing"</t>
  </si>
  <si>
    <t>"advanced-oxide-asteroid-crushing"</t>
  </si>
  <si>
    <t>"__space-age__\graphics\icons\advanced-metallic-asteroid-crushing.png"</t>
  </si>
  <si>
    <t>"__space-age__\graphics\icons\advanced-carbonic-asteroid-crushing.png"</t>
  </si>
  <si>
    <t>"__space-age__\graphics\icons\advanced-oxide-asteroid-crushing.png"</t>
  </si>
  <si>
    <t>"__space-age__\graphics\icons\carbonic-asteroid-crushing.png"</t>
  </si>
  <si>
    <t>"__space-age__\graphics\icons\metallic-asteroid-crushing.png"</t>
  </si>
  <si>
    <t>"__space-age__\graphics\icons\oxide-asteroid-crushing.png"</t>
  </si>
  <si>
    <t>carbonic-asteroid-chunk</t>
  </si>
  <si>
    <t>oxide-asteroid-chunk</t>
  </si>
  <si>
    <t>metallic-asteroid-chunk</t>
  </si>
  <si>
    <t>}</t>
  </si>
  <si>
    <t>amount</t>
  </si>
  <si>
    <t>{name="space-platform-foundation"</t>
  </si>
  <si>
    <t>type="item"</t>
  </si>
  <si>
    <t>amount = 500}</t>
  </si>
  <si>
    <t>{name="solar-panel"</t>
  </si>
  <si>
    <t>amount = 20}</t>
  </si>
  <si>
    <t>{name="astra-simple-crusher"</t>
  </si>
  <si>
    <t>amount = 4}</t>
  </si>
  <si>
    <t>{name="astra-simple-asteroid-collector"</t>
  </si>
  <si>
    <t>amount = 6}</t>
  </si>
  <si>
    <t>{name="inserter"</t>
  </si>
  <si>
    <t>{name="electric-furnace"</t>
  </si>
  <si>
    <t>amount = 8}</t>
  </si>
  <si>
    <t>{name="assembling-machine-1"</t>
  </si>
  <si>
    <t>amount = 2}</t>
  </si>
  <si>
    <t>{name="iron-plate"</t>
  </si>
  <si>
    <t>amount = 50}</t>
  </si>
  <si>
    <t>{name="efficiency-module-2"</t>
  </si>
  <si>
    <t>{name="transport-belt"</t>
  </si>
  <si>
    <t>amount = 40}</t>
  </si>
  <si>
    <t>remnant.initial_items = {</t>
  </si>
  <si>
    <t>"space-platform-foundation"</t>
  </si>
  <si>
    <t>"solar-panel"</t>
  </si>
  <si>
    <t>"astra-simple-crusher"</t>
  </si>
  <si>
    <t>"astra-simple-asteroid-collector"</t>
  </si>
  <si>
    <t>"inserter"</t>
  </si>
  <si>
    <t>"electric-furnace"</t>
  </si>
  <si>
    <t>"assembling-machine-1"</t>
  </si>
  <si>
    <t>"iron-plate"</t>
  </si>
  <si>
    <t>"efficiency-module-2"</t>
  </si>
  <si>
    <t>"transport-belt"</t>
  </si>
  <si>
    <t>line items</t>
  </si>
  <si>
    <t>Result_1_type</t>
  </si>
  <si>
    <t>Result_2_type</t>
  </si>
  <si>
    <t>Result_3_type</t>
  </si>
  <si>
    <t>Result_4_type</t>
  </si>
  <si>
    <t>fluid</t>
  </si>
  <si>
    <t>item</t>
  </si>
  <si>
    <t>Adv Vulcanis Crushing</t>
  </si>
  <si>
    <t>Adv Gleba Crushing</t>
  </si>
  <si>
    <t>Adv Fulgoran Crushing</t>
  </si>
  <si>
    <t>1Special Nauvis Crushing</t>
  </si>
  <si>
    <t>1Special Fulgoran Crushing</t>
  </si>
  <si>
    <t>1Special Gleba Crushing</t>
  </si>
  <si>
    <t>1Special Vulcanic Crushing</t>
  </si>
  <si>
    <t>holmium-ore</t>
  </si>
  <si>
    <t>heavy-oil</t>
  </si>
  <si>
    <t>holmium-solution</t>
  </si>
  <si>
    <t>"g"</t>
  </si>
  <si>
    <t>Results String</t>
  </si>
  <si>
    <t>Variable's Name</t>
  </si>
  <si>
    <t>crude_asteroid_chunk_crushing</t>
  </si>
  <si>
    <t>vulcanus_asteroid_chunk_crushing</t>
  </si>
  <si>
    <t>nauvis_asteroid_chunk_crushing</t>
  </si>
  <si>
    <t>fulgoran_asteroid_chunk_crushing</t>
  </si>
  <si>
    <t>vulcanis_asteroid_chunk_crushing_adv</t>
  </si>
  <si>
    <t>nauvis_asteroid_chunk_crushing_adv</t>
  </si>
  <si>
    <t>fulgoran_asteroid_chunk_crushing_adv</t>
  </si>
  <si>
    <t>vulcanus_special_crushing</t>
  </si>
  <si>
    <t>fulgoran_special_crushing</t>
  </si>
  <si>
    <t>Whole String</t>
  </si>
  <si>
    <t>"__Astra-Asteroids__/graphics/fulgora_crushing_basic.png"</t>
  </si>
  <si>
    <t>"__Astra-Asteroids__/graphics/vulcanus_crushing_basic.png"</t>
  </si>
  <si>
    <t>"__Astra-Asteroids__/graphics/nauvis_crushing_basic.png"</t>
  </si>
  <si>
    <t>"__Astra-Asteroids__/graphics/gleba_crushing_basic.png"</t>
  </si>
  <si>
    <t>"__Astra-Asteroids__/graphics/crude_crushing_basic.png"</t>
  </si>
  <si>
    <t>"__Astra-Asteroids__/graphics/crude_asteroid_chunk.png"</t>
  </si>
  <si>
    <t>"__Astra-Asteroids__/graphics/nauvis_asteroid_chunk.png"</t>
  </si>
  <si>
    <t>"__Astra-Asteroids__/graphics/vulcanus_asteroid_chunk.png"</t>
  </si>
  <si>
    <r>
      <t>table</t>
    </r>
    <r>
      <rPr>
        <sz val="11"/>
        <color rgb="FFBBBEBF"/>
        <rFont val="Consolas"/>
        <family val="3"/>
      </rPr>
      <t>.</t>
    </r>
    <r>
      <rPr>
        <sz val="11"/>
        <color rgb="FFD2A8FF"/>
        <rFont val="Consolas"/>
        <family val="3"/>
      </rPr>
      <t>deepcopy</t>
    </r>
    <r>
      <rPr>
        <sz val="11"/>
        <color rgb="FFBBBEBF"/>
        <rFont val="Consolas"/>
        <family val="3"/>
      </rPr>
      <t>(</t>
    </r>
    <r>
      <rPr>
        <sz val="11"/>
        <color rgb="FFFFA657"/>
        <rFont val="Consolas"/>
        <family val="3"/>
      </rPr>
      <t>data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raw</t>
    </r>
    <r>
      <rPr>
        <sz val="11"/>
        <color rgb="FFBBBEBF"/>
        <rFont val="Consolas"/>
        <family val="3"/>
      </rPr>
      <t>[</t>
    </r>
    <r>
      <rPr>
        <sz val="11"/>
        <color rgb="FFA5D6FF"/>
        <rFont val="Consolas"/>
        <family val="3"/>
      </rPr>
      <t>"asteroid-chunk"</t>
    </r>
    <r>
      <rPr>
        <sz val="11"/>
        <color rgb="FFBBBEBF"/>
        <rFont val="Consolas"/>
        <family val="3"/>
      </rPr>
      <t>][</t>
    </r>
    <r>
      <rPr>
        <sz val="11"/>
        <color rgb="FFA5D6FF"/>
        <rFont val="Consolas"/>
        <family val="3"/>
      </rPr>
      <t>"metallic-asteroid-chunk"</t>
    </r>
    <r>
      <rPr>
        <sz val="11"/>
        <color rgb="FFBBBEBF"/>
        <rFont val="Consolas"/>
        <family val="3"/>
      </rPr>
      <t>])</t>
    </r>
  </si>
  <si>
    <r>
      <t>table</t>
    </r>
    <r>
      <rPr>
        <sz val="11"/>
        <color rgb="FFBBBEBF"/>
        <rFont val="Consolas"/>
        <family val="3"/>
      </rPr>
      <t>.</t>
    </r>
    <r>
      <rPr>
        <sz val="11"/>
        <color rgb="FFD2A8FF"/>
        <rFont val="Consolas"/>
        <family val="3"/>
      </rPr>
      <t>deepcopy</t>
    </r>
    <r>
      <rPr>
        <sz val="11"/>
        <color rgb="FFBBBEBF"/>
        <rFont val="Consolas"/>
        <family val="3"/>
      </rPr>
      <t>(</t>
    </r>
    <r>
      <rPr>
        <sz val="11"/>
        <color rgb="FFFFA657"/>
        <rFont val="Consolas"/>
        <family val="3"/>
      </rPr>
      <t>data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raw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item</t>
    </r>
    <r>
      <rPr>
        <sz val="11"/>
        <color rgb="FFBBBEBF"/>
        <rFont val="Consolas"/>
        <family val="3"/>
      </rPr>
      <t>[</t>
    </r>
    <r>
      <rPr>
        <sz val="11"/>
        <color rgb="FFA5D6FF"/>
        <rFont val="Consolas"/>
        <family val="3"/>
      </rPr>
      <t>"metallic-asteroid-chunk"</t>
    </r>
    <r>
      <rPr>
        <sz val="11"/>
        <color rgb="FFBBBEBF"/>
        <rFont val="Consolas"/>
        <family val="3"/>
      </rPr>
      <t>])</t>
    </r>
  </si>
  <si>
    <r>
      <t>table</t>
    </r>
    <r>
      <rPr>
        <sz val="11"/>
        <color rgb="FFBBBEBF"/>
        <rFont val="Consolas"/>
        <family val="3"/>
      </rPr>
      <t>.</t>
    </r>
    <r>
      <rPr>
        <sz val="11"/>
        <color rgb="FFD2A8FF"/>
        <rFont val="Consolas"/>
        <family val="3"/>
      </rPr>
      <t>deepcopy</t>
    </r>
    <r>
      <rPr>
        <sz val="11"/>
        <color rgb="FFBBBEBF"/>
        <rFont val="Consolas"/>
        <family val="3"/>
      </rPr>
      <t>(</t>
    </r>
    <r>
      <rPr>
        <sz val="11"/>
        <color rgb="FFFFA657"/>
        <rFont val="Consolas"/>
        <family val="3"/>
      </rPr>
      <t>data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raw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recipe</t>
    </r>
    <r>
      <rPr>
        <sz val="11"/>
        <color rgb="FFBBBEBF"/>
        <rFont val="Consolas"/>
        <family val="3"/>
      </rPr>
      <t>[</t>
    </r>
    <r>
      <rPr>
        <sz val="11"/>
        <color rgb="FFA5D6FF"/>
        <rFont val="Consolas"/>
        <family val="3"/>
      </rPr>
      <t>"metallic-asteroid-crushing"</t>
    </r>
    <r>
      <rPr>
        <sz val="11"/>
        <color rgb="FFBBBEBF"/>
        <rFont val="Consolas"/>
        <family val="3"/>
      </rPr>
      <t>])</t>
    </r>
  </si>
  <si>
    <r>
      <t>table</t>
    </r>
    <r>
      <rPr>
        <sz val="11"/>
        <color rgb="FFBBBEBF"/>
        <rFont val="Consolas"/>
        <family val="3"/>
      </rPr>
      <t>.</t>
    </r>
    <r>
      <rPr>
        <sz val="11"/>
        <color rgb="FFD2A8FF"/>
        <rFont val="Consolas"/>
        <family val="3"/>
      </rPr>
      <t>deepcopy</t>
    </r>
    <r>
      <rPr>
        <sz val="11"/>
        <color rgb="FFBBBEBF"/>
        <rFont val="Consolas"/>
        <family val="3"/>
      </rPr>
      <t>(</t>
    </r>
    <r>
      <rPr>
        <sz val="11"/>
        <color rgb="FFFFA657"/>
        <rFont val="Consolas"/>
        <family val="3"/>
      </rPr>
      <t>data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raw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recipe</t>
    </r>
    <r>
      <rPr>
        <sz val="11"/>
        <color rgb="FFBBBEBF"/>
        <rFont val="Consolas"/>
        <family val="3"/>
      </rPr>
      <t>[</t>
    </r>
    <r>
      <rPr>
        <sz val="11"/>
        <color rgb="FFA5D6FF"/>
        <rFont val="Consolas"/>
        <family val="3"/>
      </rPr>
      <t>"advanced-metallic-asteroid-crushing"</t>
    </r>
    <r>
      <rPr>
        <sz val="11"/>
        <color rgb="FFBBBEBF"/>
        <rFont val="Consolas"/>
        <family val="3"/>
      </rPr>
      <t>])</t>
    </r>
  </si>
  <si>
    <t>gleba_special_crushing</t>
  </si>
  <si>
    <t>nauvis_special_crushing</t>
  </si>
  <si>
    <t>gleba_asteroid_chunk_crushing_adv</t>
  </si>
  <si>
    <t>gleba_asteroid_chunk_crushing</t>
  </si>
  <si>
    <t>Advanced?</t>
  </si>
  <si>
    <t>initialize</t>
  </si>
  <si>
    <t>recipe settings</t>
  </si>
  <si>
    <t>crude_asteroid_chunk</t>
  </si>
  <si>
    <t>nauvis_asteroid_chunk</t>
  </si>
  <si>
    <t>gleba_asteroid_chunk</t>
  </si>
  <si>
    <t>"__Astra-Asteroids__/graphics/gleba_asteroid_chunk.png"</t>
  </si>
  <si>
    <t>"__Astra-Asteroids__/graphics/fulgoran_asteroid_chunk.png"</t>
  </si>
  <si>
    <t>vulcanus_asteroid_chunk_item</t>
  </si>
  <si>
    <t>fulgora_asteroid_chunk_item</t>
  </si>
  <si>
    <t>vulcanus_asteroid_chunk</t>
  </si>
  <si>
    <t>fulgora_asteroid_chunk</t>
  </si>
  <si>
    <t>full string</t>
  </si>
  <si>
    <t>minable</t>
  </si>
  <si>
    <t>"astra-crude-asteroid-chunk"</t>
  </si>
  <si>
    <t>"astra-nauvis-asteroid-chunk"</t>
  </si>
  <si>
    <t>"astra-vulcanic-asteroid-chunk"</t>
  </si>
  <si>
    <t>"astra-gleba-asteroid-chunk"</t>
  </si>
  <si>
    <t>"astra-fulgoran-asteroid-chunk"</t>
  </si>
  <si>
    <t>{mining_time = 0.2, result = "astra-crude-asteroid-chunk"}</t>
  </si>
  <si>
    <t>{mining_time = 0.2, result = "astra-nauvis-asteroid-chunk"}</t>
  </si>
  <si>
    <t>{mining_time = 0.2, result = "astra-volcanic-asteroid-chunk"}</t>
  </si>
  <si>
    <t>{mining_time = 0.2, result = "astra-gleba-asteroid-chunk"}</t>
  </si>
  <si>
    <t>{mining_time = 0.2, result = "astra-fulgoran-asteroid-chunk"}</t>
  </si>
  <si>
    <t>astra-crude-asteroid-chunk</t>
  </si>
  <si>
    <t>astra-vulcanic-asteroid-chunk</t>
  </si>
  <si>
    <t>astra-nauvis-asteroid-chunk</t>
  </si>
  <si>
    <t>astra-gleba-asteroid-chunk</t>
  </si>
  <si>
    <t>astra-fulgoran-asteroid-chunk</t>
  </si>
  <si>
    <t>"astra-vulcanus-special-crushing"</t>
  </si>
  <si>
    <t>"astra-nauvis-special-crushing"</t>
  </si>
  <si>
    <t>"astra-gleba-special-crushing"</t>
  </si>
  <si>
    <t>"astra-fulgoran-special-crushing"</t>
  </si>
  <si>
    <t>astra-oilstone</t>
  </si>
  <si>
    <t>Adv Crude Crushing</t>
  </si>
  <si>
    <t>crude_asteroid_chunk_crushing_adv</t>
  </si>
  <si>
    <t>"astra-advanced-crude-asteroid-crushing"</t>
  </si>
  <si>
    <t>"astra-advanced-vulcanis-asteroid-crushing"</t>
  </si>
  <si>
    <t>"astra-crude-asteroid-crushing"</t>
  </si>
  <si>
    <t>"astra-vulcanus-asteroid-crushing"</t>
  </si>
  <si>
    <t>"astra-nauvis-asteroid-crushing"</t>
  </si>
  <si>
    <t>"astra-gleba-asteroid-crushing"</t>
  </si>
  <si>
    <t>"astra-fulgoran-asteroid-crushing"</t>
  </si>
  <si>
    <t>"astra-advanced-nauvis-asteroid-crushing"</t>
  </si>
  <si>
    <t>"astra-advanced-gleba-asteroid-crushing"</t>
  </si>
  <si>
    <t>"astra-advanced-fulgoran-asteroid-crushing"</t>
  </si>
  <si>
    <t>amount_min</t>
  </si>
  <si>
    <t>amount_max</t>
  </si>
  <si>
    <t>P</t>
  </si>
  <si>
    <t>EV</t>
  </si>
  <si>
    <t>Duration</t>
  </si>
  <si>
    <t>EV/s</t>
  </si>
  <si>
    <r>
      <t>crude_asteroid_chunk_crushing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energy_required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2</t>
    </r>
  </si>
  <si>
    <r>
      <t>crude_asteroid_chunk_crushing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</si>
  <si>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"stone"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</si>
  <si>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"astra-oilstone"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4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 },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</si>
  <si>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"astra-crude-asteroid-chunk"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0.2</t>
    </r>
    <r>
      <rPr>
        <sz val="11"/>
        <color rgb="FFBBBEBF"/>
        <rFont val="Consolas"/>
        <family val="3"/>
      </rPr>
      <t xml:space="preserve"> } </t>
    </r>
  </si>
  <si>
    <r>
      <t>vulcanus_asteroid_chunk_crushing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energy_required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2</t>
    </r>
  </si>
  <si>
    <r>
      <t>vulcanus_asteroid_chunk_crushing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</si>
  <si>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"tungsten-ore"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4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</si>
  <si>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"astra-volcanic-asteroid-chunk"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0.2</t>
    </r>
    <r>
      <rPr>
        <sz val="11"/>
        <color rgb="FFBBBEBF"/>
        <rFont val="Consolas"/>
        <family val="3"/>
      </rPr>
      <t xml:space="preserve"> } </t>
    </r>
  </si>
  <si>
    <r>
      <t>nauvis_asteroid_chunk_crushing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energy_required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2</t>
    </r>
  </si>
  <si>
    <r>
      <t>nauvis_asteroid_chunk_crushing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</si>
  <si>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"uranium-ore"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10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12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</si>
  <si>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"astra-nauvis-asteroid-chunk"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0.20</t>
    </r>
    <r>
      <rPr>
        <sz val="11"/>
        <color rgb="FFBBBEBF"/>
        <rFont val="Consolas"/>
        <family val="3"/>
      </rPr>
      <t xml:space="preserve"> } </t>
    </r>
  </si>
  <si>
    <r>
      <t>fulgoran_asteroid_chunk_crushing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energy_required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2</t>
    </r>
  </si>
  <si>
    <r>
      <t>fulgoran_asteroid_chunk_crushing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</si>
  <si>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"stone"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  <r>
      <rPr>
        <sz val="11"/>
        <color rgb="FFBBBEBF"/>
        <rFont val="Consolas"/>
        <family val="3"/>
      </rPr>
      <t>,  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</si>
  <si>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"scrap"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15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</si>
  <si>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"astra-fulgoran-asteroid-chunk"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0.2</t>
    </r>
    <r>
      <rPr>
        <sz val="11"/>
        <color rgb="FFBBBEBF"/>
        <rFont val="Consolas"/>
        <family val="3"/>
      </rPr>
      <t xml:space="preserve"> } </t>
    </r>
  </si>
  <si>
    <r>
      <t>gleba_asteroid_chunk_crushing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energy_required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2</t>
    </r>
  </si>
  <si>
    <r>
      <t>gleba_asteroid_chunk_crushing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</si>
  <si>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"spoilage"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10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</si>
  <si>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"jellynut-seed"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.1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</si>
  <si>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"yumako-seed"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.1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</si>
  <si>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"astra-gleba-asteroid-chunk"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0.2</t>
    </r>
    <r>
      <rPr>
        <sz val="11"/>
        <color rgb="FFBBBEBF"/>
        <rFont val="Consolas"/>
        <family val="3"/>
      </rPr>
      <t xml:space="preserve"> } </t>
    </r>
  </si>
  <si>
    <r>
      <t>aquilo_asteroid_chunk_crushing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energy_required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2</t>
    </r>
  </si>
  <si>
    <r>
      <t>aquilo_asteroid_chunk_crushing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</si>
  <si>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"lithium"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2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 },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</si>
  <si>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"astra-aquilo-asteroid-chunk"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0.2</t>
    </r>
    <r>
      <rPr>
        <sz val="11"/>
        <color rgb="FFBBBEBF"/>
        <rFont val="Consolas"/>
        <family val="3"/>
      </rPr>
      <t xml:space="preserve"> }     </t>
    </r>
  </si>
  <si>
    <r>
      <t>crude_asteroid_chunk_crushing_adv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localised_name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</t>
    </r>
    <r>
      <rPr>
        <sz val="11"/>
        <color rgb="FFA5D6FF"/>
        <rFont val="Consolas"/>
        <family val="3"/>
      </rPr>
      <t>"recipe-name.astra-advanced-crude-asteroid-crushing"</t>
    </r>
    <r>
      <rPr>
        <sz val="11"/>
        <color rgb="FFBBBEBF"/>
        <rFont val="Consolas"/>
        <family val="3"/>
      </rPr>
      <t>}</t>
    </r>
  </si>
  <si>
    <r>
      <t>crude_asteroid_chunk_crushing_adv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energy_required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</si>
  <si>
    <r>
      <t>crude_asteroid_chunk_crushing_adv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</si>
  <si>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"astra-oilstone"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8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</si>
  <si>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"coal"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8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</si>
  <si>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"astra-crude-asteroid-chunk"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0.05</t>
    </r>
    <r>
      <rPr>
        <sz val="11"/>
        <color rgb="FFBBBEBF"/>
        <rFont val="Consolas"/>
        <family val="3"/>
      </rPr>
      <t xml:space="preserve"> } </t>
    </r>
  </si>
  <si>
    <r>
      <t>vulcanis_asteroid_chunk_crushing_adv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localised_name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</t>
    </r>
    <r>
      <rPr>
        <sz val="11"/>
        <color rgb="FFA5D6FF"/>
        <rFont val="Consolas"/>
        <family val="3"/>
      </rPr>
      <t>"recipe-name.astra-advanced-volcanic-asteroid-crushing"</t>
    </r>
    <r>
      <rPr>
        <sz val="11"/>
        <color rgb="FFBBBEBF"/>
        <rFont val="Consolas"/>
        <family val="3"/>
      </rPr>
      <t>}</t>
    </r>
  </si>
  <si>
    <r>
      <t>vulcanis_asteroid_chunk_crushing_adv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energy_required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</si>
  <si>
    <r>
      <t>vulcanis_asteroid_chunk_crushing_adv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</si>
  <si>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"tungsten-ore"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10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14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</si>
  <si>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"astra-volcanic-asteroid-chunk"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0.05</t>
    </r>
    <r>
      <rPr>
        <sz val="11"/>
        <color rgb="FFBBBEBF"/>
        <rFont val="Consolas"/>
        <family val="3"/>
      </rPr>
      <t xml:space="preserve"> } </t>
    </r>
  </si>
  <si>
    <r>
      <t>nauvis_asteroid_chunk_crushing_adv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localised_name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</t>
    </r>
    <r>
      <rPr>
        <sz val="11"/>
        <color rgb="FFA5D6FF"/>
        <rFont val="Consolas"/>
        <family val="3"/>
      </rPr>
      <t>"recipe-name.astra-advanced-nauvis-asteroid-crushing"</t>
    </r>
    <r>
      <rPr>
        <sz val="11"/>
        <color rgb="FFBBBEBF"/>
        <rFont val="Consolas"/>
        <family val="3"/>
      </rPr>
      <t>}</t>
    </r>
  </si>
  <si>
    <r>
      <t>nauvis_asteroid_chunk_crushing_adv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energy_required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</si>
  <si>
    <r>
      <t>nauvis_asteroid_chunk_crushing_adv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</si>
  <si>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"uranium-238"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3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  <r>
      <rPr>
        <sz val="11"/>
        <color rgb="FFBBBEBF"/>
        <rFont val="Consolas"/>
        <family val="3"/>
      </rPr>
      <t xml:space="preserve">,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</si>
  <si>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"uranium-235"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.3</t>
    </r>
    <r>
      <rPr>
        <sz val="11"/>
        <color rgb="FFBBBEBF"/>
        <rFont val="Consolas"/>
        <family val="3"/>
      </rPr>
      <t>},    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</si>
  <si>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"astra-nauvis-asteroid-chunk"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0.05</t>
    </r>
    <r>
      <rPr>
        <sz val="11"/>
        <color rgb="FFBBBEBF"/>
        <rFont val="Consolas"/>
        <family val="3"/>
      </rPr>
      <t xml:space="preserve"> } </t>
    </r>
  </si>
  <si>
    <r>
      <t>fulgoran_asteroid_chunk_crushing_adv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localised_name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</t>
    </r>
    <r>
      <rPr>
        <sz val="11"/>
        <color rgb="FFA5D6FF"/>
        <rFont val="Consolas"/>
        <family val="3"/>
      </rPr>
      <t>"recipe-name.astra-advanced-fulgoran-asteroid-crushing"</t>
    </r>
    <r>
      <rPr>
        <sz val="11"/>
        <color rgb="FFBBBEBF"/>
        <rFont val="Consolas"/>
        <family val="3"/>
      </rPr>
      <t>}</t>
    </r>
  </si>
  <si>
    <r>
      <t>fulgoran_asteroid_chunk_crushing_adv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energy_required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</si>
  <si>
    <r>
      <t>fulgoran_asteroid_chunk_crushing_adv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</si>
  <si>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"scrap"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30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50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</si>
  <si>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"holmium-ore"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3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4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0.5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</si>
  <si>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"astra-fulgoran-asteroid-chunk"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0.05</t>
    </r>
    <r>
      <rPr>
        <sz val="11"/>
        <color rgb="FFBBBEBF"/>
        <rFont val="Consolas"/>
        <family val="3"/>
      </rPr>
      <t xml:space="preserve"> } </t>
    </r>
  </si>
  <si>
    <r>
      <t>gleba_asteroid_chunk_crushing_adv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localised_name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</t>
    </r>
    <r>
      <rPr>
        <sz val="11"/>
        <color rgb="FFA5D6FF"/>
        <rFont val="Consolas"/>
        <family val="3"/>
      </rPr>
      <t>"recipe-name.astra-advanced-gleba-asteroid-crushing"</t>
    </r>
    <r>
      <rPr>
        <sz val="11"/>
        <color rgb="FFBBBEBF"/>
        <rFont val="Consolas"/>
        <family val="3"/>
      </rPr>
      <t>}</t>
    </r>
  </si>
  <si>
    <r>
      <t>gleba_asteroid_chunk_crushing_adv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energy_required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</si>
  <si>
    <r>
      <t>gleba_asteroid_chunk_crushing_adv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</si>
  <si>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"spoilage"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10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20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</si>
  <si>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"jellynut-seed"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2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.3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</si>
  <si>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"yumako-seed"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2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.3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</si>
  <si>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"astra-gleba-asteroid-chunk"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amount_min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amount_max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0.05</t>
    </r>
    <r>
      <rPr>
        <sz val="11"/>
        <color rgb="FFBBBEBF"/>
        <rFont val="Consolas"/>
        <family val="3"/>
      </rPr>
      <t xml:space="preserve"> } </t>
    </r>
  </si>
  <si>
    <r>
      <t>if</t>
    </r>
    <r>
      <rPr>
        <sz val="11"/>
        <color rgb="FFBBBEBF"/>
        <rFont val="Consolas"/>
        <family val="3"/>
      </rPr>
      <t xml:space="preserve"> </t>
    </r>
    <r>
      <rPr>
        <sz val="11"/>
        <color rgb="FFFFA657"/>
        <rFont val="Consolas"/>
        <family val="3"/>
      </rPr>
      <t>settings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startup</t>
    </r>
    <r>
      <rPr>
        <sz val="11"/>
        <color rgb="FFBBBEBF"/>
        <rFont val="Consolas"/>
        <family val="3"/>
      </rPr>
      <t>[</t>
    </r>
    <r>
      <rPr>
        <sz val="11"/>
        <color rgb="FFA5D6FF"/>
        <rFont val="Consolas"/>
        <family val="3"/>
      </rPr>
      <t>"astra-include-crude-asteroid"</t>
    </r>
    <r>
      <rPr>
        <sz val="11"/>
        <color rgb="FFBBBEBF"/>
        <rFont val="Consolas"/>
        <family val="3"/>
      </rPr>
      <t>].</t>
    </r>
    <r>
      <rPr>
        <sz val="11"/>
        <color rgb="FF4EC9B0"/>
        <rFont val="Consolas"/>
        <family val="3"/>
      </rPr>
      <t>value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==</t>
    </r>
    <r>
      <rPr>
        <sz val="11"/>
        <color rgb="FFBBBEBF"/>
        <rFont val="Consolas"/>
        <family val="3"/>
      </rPr>
      <t xml:space="preserve"> </t>
    </r>
    <r>
      <rPr>
        <sz val="11"/>
        <color rgb="FF569CD6"/>
        <rFont val="Consolas"/>
        <family val="3"/>
      </rPr>
      <t>true</t>
    </r>
    <r>
      <rPr>
        <sz val="11"/>
        <color rgb="FFBBBEBF"/>
        <rFont val="Consolas"/>
        <family val="3"/>
      </rPr>
      <t xml:space="preserve"> </t>
    </r>
    <r>
      <rPr>
        <sz val="11"/>
        <color rgb="FFC586C0"/>
        <rFont val="Consolas"/>
        <family val="3"/>
      </rPr>
      <t>then</t>
    </r>
  </si>
  <si>
    <r>
      <t>local</t>
    </r>
    <r>
      <rPr>
        <sz val="11"/>
        <color rgb="FFBBBEBF"/>
        <rFont val="Consolas"/>
        <family val="3"/>
      </rPr>
      <t xml:space="preserve"> </t>
    </r>
    <r>
      <rPr>
        <sz val="11"/>
        <color rgb="FFC9D1D9"/>
        <rFont val="Consolas"/>
        <family val="3"/>
      </rPr>
      <t>crude1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</t>
    </r>
    <r>
      <rPr>
        <sz val="11"/>
        <color rgb="FF4EC9B0"/>
        <rFont val="Consolas"/>
        <family val="3"/>
      </rPr>
      <t>type</t>
    </r>
    <r>
      <rPr>
        <sz val="11"/>
        <color rgb="FFD4D4D4"/>
        <rFont val="Consolas"/>
        <family val="3"/>
      </rPr>
      <t>=</t>
    </r>
    <r>
      <rPr>
        <sz val="11"/>
        <color rgb="FFA5D6FF"/>
        <rFont val="Consolas"/>
        <family val="3"/>
      </rPr>
      <t>"change-recipe-productivity"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change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recipe</t>
    </r>
    <r>
      <rPr>
        <sz val="11"/>
        <color rgb="FFD4D4D4"/>
        <rFont val="Consolas"/>
        <family val="3"/>
      </rPr>
      <t>=</t>
    </r>
    <r>
      <rPr>
        <sz val="11"/>
        <color rgb="FFA5D6FF"/>
        <rFont val="Consolas"/>
        <family val="3"/>
      </rPr>
      <t>"astra-crude-asteroid-crushing"</t>
    </r>
    <r>
      <rPr>
        <sz val="11"/>
        <color rgb="FFBBBEBF"/>
        <rFont val="Consolas"/>
        <family val="3"/>
      </rPr>
      <t>}</t>
    </r>
  </si>
  <si>
    <r>
      <t>local</t>
    </r>
    <r>
      <rPr>
        <sz val="11"/>
        <color rgb="FFBBBEBF"/>
        <rFont val="Consolas"/>
        <family val="3"/>
      </rPr>
      <t xml:space="preserve"> </t>
    </r>
    <r>
      <rPr>
        <sz val="11"/>
        <color rgb="FFC9D1D9"/>
        <rFont val="Consolas"/>
        <family val="3"/>
      </rPr>
      <t>crude2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</t>
    </r>
    <r>
      <rPr>
        <sz val="11"/>
        <color rgb="FF4EC9B0"/>
        <rFont val="Consolas"/>
        <family val="3"/>
      </rPr>
      <t>type</t>
    </r>
    <r>
      <rPr>
        <sz val="11"/>
        <color rgb="FFD4D4D4"/>
        <rFont val="Consolas"/>
        <family val="3"/>
      </rPr>
      <t>=</t>
    </r>
    <r>
      <rPr>
        <sz val="11"/>
        <color rgb="FFA5D6FF"/>
        <rFont val="Consolas"/>
        <family val="3"/>
      </rPr>
      <t>"change-recipe-productivity"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change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recipe</t>
    </r>
    <r>
      <rPr>
        <sz val="11"/>
        <color rgb="FFD4D4D4"/>
        <rFont val="Consolas"/>
        <family val="3"/>
      </rPr>
      <t>=</t>
    </r>
    <r>
      <rPr>
        <sz val="11"/>
        <color rgb="FFA5D6FF"/>
        <rFont val="Consolas"/>
        <family val="3"/>
      </rPr>
      <t>"astra-advanced-crude-asteroid-crushing"</t>
    </r>
    <r>
      <rPr>
        <sz val="11"/>
        <color rgb="FFBBBEBF"/>
        <rFont val="Consolas"/>
        <family val="3"/>
      </rPr>
      <t>}</t>
    </r>
  </si>
  <si>
    <t>end</t>
  </si>
  <si>
    <r>
      <t>crude_repro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localised_name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</t>
    </r>
    <r>
      <rPr>
        <sz val="11"/>
        <color rgb="FFA5D6FF"/>
        <rFont val="Consolas"/>
        <family val="3"/>
      </rPr>
      <t>"recipe-name.astra-crude-asteroid-processing"</t>
    </r>
    <r>
      <rPr>
        <sz val="11"/>
        <color rgb="FFBBBEBF"/>
        <rFont val="Consolas"/>
        <family val="3"/>
      </rPr>
      <t>}</t>
    </r>
  </si>
  <si>
    <r>
      <t>crude_repro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allow_productivty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569CD6"/>
        <rFont val="Consolas"/>
        <family val="3"/>
      </rPr>
      <t>false</t>
    </r>
  </si>
  <si>
    <r>
      <t>crude_repro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</si>
  <si>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"astra-crude-asteroid-chunk"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>,  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.2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</si>
  <si>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"metallic-asteroid-chunk"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>,  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.2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</si>
  <si>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"oxide-asteroid-chunk"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>,  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.2</t>
    </r>
    <r>
      <rPr>
        <sz val="11"/>
        <color rgb="FFBBBEBF"/>
        <rFont val="Consolas"/>
        <family val="3"/>
      </rPr>
      <t xml:space="preserve"> },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</si>
  <si>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"carbonic-asteroid-chunk"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.2</t>
    </r>
    <r>
      <rPr>
        <sz val="11"/>
        <color rgb="FFBBBEBF"/>
        <rFont val="Consolas"/>
        <family val="3"/>
      </rPr>
      <t xml:space="preserve"> }  </t>
    </r>
  </si>
  <si>
    <r>
      <t>radio_repro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localised_name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</t>
    </r>
    <r>
      <rPr>
        <sz val="11"/>
        <color rgb="FFA5D6FF"/>
        <rFont val="Consolas"/>
        <family val="3"/>
      </rPr>
      <t>"recipe-name.astra-nauvis-asteroid-processing"</t>
    </r>
    <r>
      <rPr>
        <sz val="11"/>
        <color rgb="FFBBBEBF"/>
        <rFont val="Consolas"/>
        <family val="3"/>
      </rPr>
      <t>}</t>
    </r>
  </si>
  <si>
    <r>
      <t>radio_repro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allow_productivty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569CD6"/>
        <rFont val="Consolas"/>
        <family val="3"/>
      </rPr>
      <t>false</t>
    </r>
  </si>
  <si>
    <r>
      <t>radio_repro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</si>
  <si>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"astra-nauvis-asteroid-chunk"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>,  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.2</t>
    </r>
    <r>
      <rPr>
        <sz val="11"/>
        <color rgb="FFBBBEBF"/>
        <rFont val="Consolas"/>
        <family val="3"/>
      </rPr>
      <t xml:space="preserve"> }, </t>
    </r>
  </si>
  <si>
    <r>
      <t>volca_repro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localised_name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</t>
    </r>
    <r>
      <rPr>
        <sz val="11"/>
        <color rgb="FFA5D6FF"/>
        <rFont val="Consolas"/>
        <family val="3"/>
      </rPr>
      <t>"recipe-name.astra-volcanic-asteroid-processing"</t>
    </r>
    <r>
      <rPr>
        <sz val="11"/>
        <color rgb="FFBBBEBF"/>
        <rFont val="Consolas"/>
        <family val="3"/>
      </rPr>
      <t>}</t>
    </r>
  </si>
  <si>
    <r>
      <t>volca_repro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allow_productivty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569CD6"/>
        <rFont val="Consolas"/>
        <family val="3"/>
      </rPr>
      <t>false</t>
    </r>
  </si>
  <si>
    <r>
      <t>volca_repro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</si>
  <si>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"astra-volcanic-asteroid-chunk"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>,  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.2</t>
    </r>
    <r>
      <rPr>
        <sz val="11"/>
        <color rgb="FFBBBEBF"/>
        <rFont val="Consolas"/>
        <family val="3"/>
      </rPr>
      <t xml:space="preserve"> }, </t>
    </r>
  </si>
  <si>
    <r>
      <t>fulga_repro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localised_name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</t>
    </r>
    <r>
      <rPr>
        <sz val="11"/>
        <color rgb="FFA5D6FF"/>
        <rFont val="Consolas"/>
        <family val="3"/>
      </rPr>
      <t>"recipe-name.astra-fulgoran-asteroid-processing"</t>
    </r>
    <r>
      <rPr>
        <sz val="11"/>
        <color rgb="FFBBBEBF"/>
        <rFont val="Consolas"/>
        <family val="3"/>
      </rPr>
      <t>}</t>
    </r>
  </si>
  <si>
    <r>
      <t>fulga_repro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allow_productivty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569CD6"/>
        <rFont val="Consolas"/>
        <family val="3"/>
      </rPr>
      <t>false</t>
    </r>
  </si>
  <si>
    <r>
      <t>fulga_repro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</si>
  <si>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"astra-fulgoran-asteroid-chunk"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>,  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.2</t>
    </r>
    <r>
      <rPr>
        <sz val="11"/>
        <color rgb="FFBBBEBF"/>
        <rFont val="Consolas"/>
        <family val="3"/>
      </rPr>
      <t xml:space="preserve"> }, </t>
    </r>
  </si>
  <si>
    <r>
      <t>gleba_repro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localised_name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</t>
    </r>
    <r>
      <rPr>
        <sz val="11"/>
        <color rgb="FFA5D6FF"/>
        <rFont val="Consolas"/>
        <family val="3"/>
      </rPr>
      <t>"recipe-name.astra-gleba-asteroid-processing"</t>
    </r>
    <r>
      <rPr>
        <sz val="11"/>
        <color rgb="FFBBBEBF"/>
        <rFont val="Consolas"/>
        <family val="3"/>
      </rPr>
      <t>}</t>
    </r>
  </si>
  <si>
    <r>
      <t>gleba_repro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allow_productivty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569CD6"/>
        <rFont val="Consolas"/>
        <family val="3"/>
      </rPr>
      <t>false</t>
    </r>
  </si>
  <si>
    <r>
      <t>gleba_repro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</si>
  <si>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"astra-gleba-asteroid-chunk"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>,  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.2</t>
    </r>
    <r>
      <rPr>
        <sz val="11"/>
        <color rgb="FFBBBEBF"/>
        <rFont val="Consolas"/>
        <family val="3"/>
      </rPr>
      <t xml:space="preserve"> }, </t>
    </r>
  </si>
  <si>
    <r>
      <t>aquil_repro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localised_name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</t>
    </r>
    <r>
      <rPr>
        <sz val="11"/>
        <color rgb="FFA5D6FF"/>
        <rFont val="Consolas"/>
        <family val="3"/>
      </rPr>
      <t>"recipe-name.astra-aquilo-asteroid-processing"</t>
    </r>
    <r>
      <rPr>
        <sz val="11"/>
        <color rgb="FFBBBEBF"/>
        <rFont val="Consolas"/>
        <family val="3"/>
      </rPr>
      <t>}</t>
    </r>
  </si>
  <si>
    <r>
      <t>aquil_repro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allow_productivty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569CD6"/>
        <rFont val="Consolas"/>
        <family val="3"/>
      </rPr>
      <t>false</t>
    </r>
  </si>
  <si>
    <r>
      <t>aquil_repro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results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 </t>
    </r>
  </si>
  <si>
    <r>
      <t xml:space="preserve">    { </t>
    </r>
    <r>
      <rPr>
        <sz val="11"/>
        <color rgb="FF4EC9B0"/>
        <rFont val="Consolas"/>
        <family val="3"/>
      </rPr>
      <t>type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"item"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name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A5D6FF"/>
        <rFont val="Consolas"/>
        <family val="3"/>
      </rPr>
      <t>"astra-aquilo-asteroid-chunk"</t>
    </r>
    <r>
      <rPr>
        <sz val="11"/>
        <color rgb="FFBBBEBF"/>
        <rFont val="Consolas"/>
        <family val="3"/>
      </rPr>
      <t xml:space="preserve">, </t>
    </r>
    <r>
      <rPr>
        <sz val="11"/>
        <color rgb="FF4EC9B0"/>
        <rFont val="Consolas"/>
        <family val="3"/>
      </rPr>
      <t>amount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1</t>
    </r>
    <r>
      <rPr>
        <sz val="11"/>
        <color rgb="FFBBBEBF"/>
        <rFont val="Consolas"/>
        <family val="3"/>
      </rPr>
      <t>,  </t>
    </r>
    <r>
      <rPr>
        <sz val="11"/>
        <color rgb="FF4EC9B0"/>
        <rFont val="Consolas"/>
        <family val="3"/>
      </rPr>
      <t>probability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</t>
    </r>
    <r>
      <rPr>
        <sz val="11"/>
        <color rgb="FFB5CEA8"/>
        <rFont val="Consolas"/>
        <family val="3"/>
      </rPr>
      <t>.2</t>
    </r>
    <r>
      <rPr>
        <sz val="11"/>
        <color rgb="FFBBBEBF"/>
        <rFont val="Consolas"/>
        <family val="3"/>
      </rPr>
      <t xml:space="preserve"> }, </t>
    </r>
  </si>
  <si>
    <t>Basic Aquilo Crushing</t>
  </si>
  <si>
    <t>lithium</t>
  </si>
  <si>
    <t>astra-aquilo-asteroid-chunk</t>
  </si>
  <si>
    <t>aquilo-asteroid-chunk_crushing</t>
  </si>
  <si>
    <t>"astra-aquilo-asteroid-crushing"</t>
  </si>
  <si>
    <t>"l[aquilo].a[basic]"</t>
  </si>
  <si>
    <t>s/EV</t>
  </si>
  <si>
    <t>Row Labels</t>
  </si>
  <si>
    <t>Grand Total</t>
  </si>
  <si>
    <t>Sum of EV</t>
  </si>
  <si>
    <t>Column Labels</t>
  </si>
  <si>
    <t>Metallic Asteroid Crushing</t>
  </si>
  <si>
    <t>Carbonic Asteroid Crushing</t>
  </si>
  <si>
    <t>"g[crude].a[basic]"</t>
  </si>
  <si>
    <t>"i[vulcanus].a[basic]"</t>
  </si>
  <si>
    <t>"h[nauvis].a[basic]"</t>
  </si>
  <si>
    <t>"k[fulgora].a[basic]"</t>
  </si>
  <si>
    <t>"j[gleba].a[basic]"</t>
  </si>
  <si>
    <t>"g[crude].b[adv]"</t>
  </si>
  <si>
    <t>"h[nauvis].b[adv]"</t>
  </si>
  <si>
    <t>"k[fulgora].b[adv]"</t>
  </si>
  <si>
    <t>"j[gleba].b[adv]"</t>
  </si>
  <si>
    <t>"i[vulcanus].b[adv]"</t>
  </si>
  <si>
    <t>"i[vulcanus].z[special]"</t>
  </si>
  <si>
    <t>"k[fulgora].z[special]"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</si>
</sst>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CCCCCC"/>
      <name val="Consolas"/>
      <family val="3"/>
    </font>
    <font>
      <sz val="11"/>
      <color rgb="FF569CD6"/>
      <name val="Consolas"/>
      <family val="3"/>
    </font>
    <font>
      <sz val="11"/>
      <color rgb="FF9CDCFE"/>
      <name val="Consolas"/>
      <family val="3"/>
    </font>
    <font>
      <sz val="11"/>
      <name val="Aptos Narrow"/>
      <family val="2"/>
      <scheme val="minor"/>
    </font>
    <font>
      <sz val="11"/>
      <name val="Consolas"/>
      <family val="3"/>
    </font>
    <font>
      <sz val="11"/>
      <color rgb="FFFF0000"/>
      <name val="Aptos Narrow"/>
      <family val="2"/>
      <scheme val="minor"/>
    </font>
    <font>
      <sz val="11"/>
      <color rgb="FFBBBEBF"/>
      <name val="Consolas"/>
      <family val="3"/>
    </font>
    <font>
      <sz val="11"/>
      <color rgb="FF79C0FF"/>
      <name val="Consolas"/>
      <family val="3"/>
    </font>
    <font>
      <sz val="11"/>
      <color rgb="FFD2A8FF"/>
      <name val="Consolas"/>
      <family val="3"/>
    </font>
    <font>
      <sz val="11"/>
      <color rgb="FFFFA657"/>
      <name val="Consolas"/>
      <family val="3"/>
    </font>
    <font>
      <sz val="11"/>
      <color rgb="FF4EC9B0"/>
      <name val="Consolas"/>
      <family val="3"/>
    </font>
    <font>
      <sz val="11"/>
      <color rgb="FFA5D6FF"/>
      <name val="Consolas"/>
      <family val="3"/>
    </font>
    <font>
      <sz val="11"/>
      <color rgb="FFFF7B72"/>
      <name val="Consolas"/>
      <family val="3"/>
    </font>
    <font>
      <sz val="11"/>
      <color rgb="FFC9D1D9"/>
      <name val="Consolas"/>
      <family val="3"/>
    </font>
    <font>
      <sz val="11"/>
      <color rgb="FFD4D4D4"/>
      <name val="Consolas"/>
      <family val="3"/>
    </font>
    <font>
      <sz val="11"/>
      <color rgb="FFB5CEA8"/>
      <name val="Consolas"/>
      <family val="3"/>
    </font>
    <font>
      <sz val="11"/>
      <color rgb="FFC586C0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14999847407452621"/>
        <bgColor indexed="64"/>
      </patternFill>
    </fill>
  </fills>
  <borders count="2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quotePrefix="1"/>
    <xf numFmtId="0" fontId="0" fillId="0" borderId="0" xfId="0" applyAlignment="1">
      <alignment horizontal="center" shrinkToFit="1"/>
    </xf>
    <xf numFmtId="0" fontId="0" fillId="0" borderId="0" xfId="0" applyAlignment="1">
      <alignment horizontal="center" wrapText="1" shrinkToFit="1"/>
    </xf>
    <xf numFmtId="0" fontId="5" fillId="0" borderId="0" xfId="0" applyFont="1"/>
    <xf numFmtId="0" fontId="6" fillId="0" borderId="0" xfId="0" applyFont="1" applyAlignment="1">
      <alignment vertical="center"/>
    </xf>
    <xf numFmtId="0" fontId="0" fillId="2" borderId="1" xfId="0" applyFill="1" applyBorder="1" applyAlignment="1">
      <alignment horizontal="left" wrapText="1"/>
    </xf>
    <xf numFmtId="0" fontId="9" fillId="0" borderId="0" xfId="0" applyFont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/>
    </xf>
    <xf numFmtId="0" fontId="0" fillId="3" borderId="1" xfId="0" applyFill="1" applyBorder="1" applyAlignment="1">
      <alignment horizontal="left" wrapText="1"/>
    </xf>
    <xf numFmtId="0" fontId="7" fillId="0" borderId="0" xfId="0" applyFont="1" applyAlignment="1">
      <alignment horizontal="center"/>
    </xf>
    <xf numFmtId="0" fontId="0" fillId="4" borderId="0" xfId="0" applyFill="1" applyAlignment="1">
      <alignment vertical="center"/>
    </xf>
    <xf numFmtId="0" fontId="15" fillId="4" borderId="0" xfId="0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18" fillId="4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0" fontId="0" fillId="0" borderId="0" xfId="0" pivotButton="1" applyAlignment="1">
      <alignment horizontal="center" wrapText="1"/>
    </xf>
  </cellXfs>
  <cellStyles count="1">
    <cellStyle name="Normal" xfId="0" builtinId="0"/>
  </cellStyles>
  <dxfs count="119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/>
        <color theme="1" tint="0.34998626667073579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/>
        <color theme="1" tint="0.34998626667073579"/>
      </font>
    </dxf>
    <dxf>
      <font>
        <b val="0"/>
        <i/>
        <color theme="1" tint="0.34998626667073579"/>
      </font>
    </dxf>
    <dxf>
      <fill>
        <patternFill patternType="lightDown">
          <fgColor rgb="FFFF99FF"/>
        </patternFill>
      </fill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numFmt numFmtId="0" formatCode="General"/>
      <alignment horizontal="center" vertical="bottom" textRotation="0" wrapText="1" indent="0" justifyLastLine="0" shrinkToFit="0" readingOrder="0"/>
    </dxf>
    <dxf>
      <numFmt numFmtId="0" formatCode="General"/>
      <alignment vertical="bottom" textRotation="0" wrapText="1" indent="0" justifyLastLine="0" shrinkToFit="0" readingOrder="0"/>
    </dxf>
    <dxf>
      <numFmt numFmtId="0" formatCode="General"/>
      <alignment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numFmt numFmtId="0" formatCode="General"/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numFmt numFmtId="0" formatCode="General"/>
      <alignment horizontal="center" vertical="bottom" textRotation="0" wrapText="0" indent="0" justifyLastLine="0" shrinkToFit="1" readingOrder="0"/>
    </dxf>
    <dxf>
      <numFmt numFmtId="0" formatCode="General"/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numFmt numFmtId="0" formatCode="General"/>
      <alignment horizontal="center" textRotation="0" indent="0" justifyLastLine="0" shrinkToFit="0" readingOrder="0"/>
    </dxf>
    <dxf>
      <alignment vertical="center" textRotation="0" wrapText="1" indent="0" justifyLastLine="0" shrinkToFit="0" readingOrder="0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theme" Target="theme/theme1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wen Ciano" refreshedDate="46160.883928009258" createdVersion="8" refreshedVersion="8" minRefreshableVersion="3" recordCount="56" xr:uid="{D10F4685-983E-4B06-AB6F-C97D984CAD09}">
  <cacheSource type="worksheet">
    <worksheetSource name="Table8"/>
  </cacheSource>
  <cacheFields count="10">
    <cacheField name="Recipe" numFmtId="0">
      <sharedItems count="19">
        <s v="Oxide asteroid crushing"/>
        <s v="Crude Asteroid Crushing"/>
        <s v="Advanced oxide asteroid crushing"/>
        <s v="Advanced metallic asteroid crushing"/>
        <s v="Advanced carbonic asteroid crushing"/>
        <s v="Adv Vulcanis Crushing"/>
        <s v="Adv Nauvis Crushing"/>
        <s v="Adv Gleba Crushing"/>
        <s v="1Special Fulgoran Crushing"/>
        <s v="Adv Crude Crushing"/>
        <s v="Basic Vulcanic Crushing"/>
        <s v="Basic Nauvis Crushing"/>
        <s v="Basic Gleba Crushing"/>
        <s v="Basic Aquilo Crushing"/>
        <s v="Adv Fulgoran Crushing"/>
        <s v="1Special Vulcanic Crushing"/>
        <s v="Basic Fulgoran Crushing"/>
        <s v="Metallic Asteroid Crushing"/>
        <s v="Carbonic Asteroid Crushing"/>
      </sharedItems>
    </cacheField>
    <cacheField name="type" numFmtId="0">
      <sharedItems/>
    </cacheField>
    <cacheField name="name" numFmtId="0">
      <sharedItems count="31">
        <s v="ice"/>
        <s v="astra-oilstone"/>
        <s v="oxide-asteroid-chunk"/>
        <s v="metallic-asteroid-chunk"/>
        <s v="carbonic-asteroid-chunk"/>
        <s v="astra-vulcanic-asteroid-chunk"/>
        <s v="astra-nauvis-asteroid-chunk"/>
        <s v="astra-gleba-asteroid-chunk"/>
        <s v="stone"/>
        <s v="astra-crude-asteroid-chunk"/>
        <s v="tungsten-ore"/>
        <s v="uranium-ore"/>
        <s v="heavy-oil"/>
        <s v="astra-aquilo-asteroid-chunk"/>
        <s v="yumako-seed"/>
        <s v="jellynut-seed"/>
        <s v="spoilage"/>
        <s v="holmium-solution"/>
        <s v="astra-fulgoran-asteroid-chunk"/>
        <s v="lithium"/>
        <s v="calcite"/>
        <s v="copper-ore"/>
        <s v="iron-ore"/>
        <s v="sulfur"/>
        <s v="carbon"/>
        <s v="uranium-235"/>
        <s v="uranium-238"/>
        <s v="holmium-ore"/>
        <s v="scrap"/>
        <s v="coal"/>
        <s v="lava"/>
      </sharedItems>
    </cacheField>
    <cacheField name="amount_min" numFmtId="0">
      <sharedItems containsSemiMixedTypes="0" containsString="0" containsNumber="1" containsInteger="1" minValue="0" maxValue="2000"/>
    </cacheField>
    <cacheField name="amount_max" numFmtId="0">
      <sharedItems containsSemiMixedTypes="0" containsString="0" containsNumber="1" containsInteger="1" minValue="0" maxValue="2000"/>
    </cacheField>
    <cacheField name="P" numFmtId="0">
      <sharedItems containsSemiMixedTypes="0" containsString="0" containsNumber="1" minValue="0.05" maxValue="1"/>
    </cacheField>
    <cacheField name="Duration" numFmtId="0">
      <sharedItems containsSemiMixedTypes="0" containsString="0" containsNumber="1" containsInteger="1" minValue="2" maxValue="10"/>
    </cacheField>
    <cacheField name="EV" numFmtId="0">
      <sharedItems containsSemiMixedTypes="0" containsString="0" containsNumber="1" minValue="0" maxValue="2000"/>
    </cacheField>
    <cacheField name="EV/s" numFmtId="0">
      <sharedItems containsSemiMixedTypes="0" containsString="0" containsNumber="1" minValue="0" maxValue="400"/>
    </cacheField>
    <cacheField name="s/EV" numFmtId="0">
      <sharedItems containsSemiMixedTypes="0" containsString="0" containsNumber="1" minValue="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">
  <r>
    <x v="0"/>
    <s v="item"/>
    <x v="0"/>
    <n v="5"/>
    <n v="5"/>
    <n v="1"/>
    <n v="2"/>
    <n v="5"/>
    <n v="2.5"/>
    <n v="0.4"/>
  </r>
  <r>
    <x v="1"/>
    <s v="item"/>
    <x v="1"/>
    <n v="4"/>
    <n v="5"/>
    <n v="1"/>
    <n v="2"/>
    <n v="4.5"/>
    <n v="2.25"/>
    <n v="0.44444444444444442"/>
  </r>
  <r>
    <x v="2"/>
    <s v="item"/>
    <x v="2"/>
    <n v="1"/>
    <n v="1"/>
    <n v="0.05"/>
    <n v="5"/>
    <n v="0.05"/>
    <n v="0.01"/>
    <n v="100"/>
  </r>
  <r>
    <x v="3"/>
    <s v="item"/>
    <x v="3"/>
    <n v="1"/>
    <n v="1"/>
    <n v="0.05"/>
    <n v="5"/>
    <n v="0.05"/>
    <n v="0.01"/>
    <n v="100"/>
  </r>
  <r>
    <x v="4"/>
    <s v="item"/>
    <x v="4"/>
    <n v="1"/>
    <n v="1"/>
    <n v="0.05"/>
    <n v="5"/>
    <n v="0.05"/>
    <n v="0.01"/>
    <n v="100"/>
  </r>
  <r>
    <x v="5"/>
    <s v="item"/>
    <x v="5"/>
    <n v="1"/>
    <n v="1"/>
    <n v="0.05"/>
    <n v="5"/>
    <n v="0.05"/>
    <n v="0.01"/>
    <n v="100"/>
  </r>
  <r>
    <x v="6"/>
    <s v="item"/>
    <x v="6"/>
    <n v="1"/>
    <n v="1"/>
    <n v="0.05"/>
    <n v="5"/>
    <n v="0.05"/>
    <n v="0.01"/>
    <n v="100"/>
  </r>
  <r>
    <x v="7"/>
    <s v="item"/>
    <x v="7"/>
    <n v="1"/>
    <n v="1"/>
    <n v="0.05"/>
    <n v="5"/>
    <n v="0.05"/>
    <n v="0.01"/>
    <n v="100"/>
  </r>
  <r>
    <x v="8"/>
    <s v="item"/>
    <x v="8"/>
    <n v="5"/>
    <n v="5"/>
    <n v="1"/>
    <n v="10"/>
    <n v="5"/>
    <n v="0.5"/>
    <n v="2"/>
  </r>
  <r>
    <x v="9"/>
    <s v="item"/>
    <x v="9"/>
    <n v="1"/>
    <n v="1"/>
    <n v="0.05"/>
    <n v="5"/>
    <n v="0.05"/>
    <n v="0.01"/>
    <n v="100"/>
  </r>
  <r>
    <x v="1"/>
    <s v="item"/>
    <x v="8"/>
    <n v="5"/>
    <n v="5"/>
    <n v="1"/>
    <n v="2"/>
    <n v="5"/>
    <n v="2.5"/>
    <n v="0.4"/>
  </r>
  <r>
    <x v="10"/>
    <s v="item"/>
    <x v="10"/>
    <n v="4"/>
    <n v="5"/>
    <n v="1"/>
    <n v="2"/>
    <n v="4.5"/>
    <n v="2.25"/>
    <n v="0.44444444444444442"/>
  </r>
  <r>
    <x v="10"/>
    <s v="item"/>
    <x v="8"/>
    <n v="5"/>
    <n v="5"/>
    <n v="1"/>
    <n v="2"/>
    <n v="5"/>
    <n v="2.5"/>
    <n v="0.4"/>
  </r>
  <r>
    <x v="11"/>
    <s v="item"/>
    <x v="8"/>
    <n v="5"/>
    <n v="5"/>
    <n v="1"/>
    <n v="2"/>
    <n v="5"/>
    <n v="2.5"/>
    <n v="0.4"/>
  </r>
  <r>
    <x v="11"/>
    <s v="item"/>
    <x v="11"/>
    <n v="10"/>
    <n v="12"/>
    <n v="1"/>
    <n v="2"/>
    <n v="11"/>
    <n v="5.5"/>
    <n v="0.18181818181818182"/>
  </r>
  <r>
    <x v="0"/>
    <s v="item"/>
    <x v="2"/>
    <n v="1"/>
    <n v="1"/>
    <n v="0.2"/>
    <n v="2"/>
    <n v="0.2"/>
    <n v="0.1"/>
    <n v="10"/>
  </r>
  <r>
    <x v="1"/>
    <s v="item"/>
    <x v="9"/>
    <n v="1"/>
    <n v="1"/>
    <n v="0.2"/>
    <n v="2"/>
    <n v="0.2"/>
    <n v="0.1"/>
    <n v="10"/>
  </r>
  <r>
    <x v="10"/>
    <s v="item"/>
    <x v="5"/>
    <n v="1"/>
    <n v="1"/>
    <n v="0.2"/>
    <n v="2"/>
    <n v="0.2"/>
    <n v="0.1"/>
    <n v="10"/>
  </r>
  <r>
    <x v="11"/>
    <s v="item"/>
    <x v="6"/>
    <n v="1"/>
    <n v="1"/>
    <n v="0.2"/>
    <n v="2"/>
    <n v="0.2"/>
    <n v="0.1"/>
    <n v="10"/>
  </r>
  <r>
    <x v="12"/>
    <s v="item"/>
    <x v="7"/>
    <n v="1"/>
    <n v="1"/>
    <n v="0.2"/>
    <n v="2"/>
    <n v="0.2"/>
    <n v="0.1"/>
    <n v="10"/>
  </r>
  <r>
    <x v="8"/>
    <s v="fluid"/>
    <x v="12"/>
    <n v="20"/>
    <n v="20"/>
    <n v="1"/>
    <n v="10"/>
    <n v="20"/>
    <n v="2"/>
    <n v="0.5"/>
  </r>
  <r>
    <x v="13"/>
    <s v="item"/>
    <x v="13"/>
    <n v="1"/>
    <n v="1"/>
    <n v="0.2"/>
    <n v="2"/>
    <n v="0.2"/>
    <n v="0.1"/>
    <n v="10"/>
  </r>
  <r>
    <x v="12"/>
    <s v="item"/>
    <x v="14"/>
    <n v="1"/>
    <n v="1"/>
    <n v="0.1"/>
    <n v="2"/>
    <n v="0.1"/>
    <n v="0.05"/>
    <n v="20"/>
  </r>
  <r>
    <x v="12"/>
    <s v="item"/>
    <x v="15"/>
    <n v="1"/>
    <n v="1"/>
    <n v="0.1"/>
    <n v="2"/>
    <n v="0.1"/>
    <n v="0.05"/>
    <n v="20"/>
  </r>
  <r>
    <x v="12"/>
    <s v="item"/>
    <x v="8"/>
    <n v="5"/>
    <n v="5"/>
    <n v="1"/>
    <n v="2"/>
    <n v="5"/>
    <n v="2.5"/>
    <n v="0.4"/>
  </r>
  <r>
    <x v="12"/>
    <s v="item"/>
    <x v="16"/>
    <n v="5"/>
    <n v="10"/>
    <n v="1"/>
    <n v="2"/>
    <n v="7.5"/>
    <n v="3.75"/>
    <n v="0.26666666666666666"/>
  </r>
  <r>
    <x v="8"/>
    <s v="fluid"/>
    <x v="17"/>
    <n v="20"/>
    <n v="20"/>
    <n v="1"/>
    <n v="10"/>
    <n v="20"/>
    <n v="2"/>
    <n v="0.5"/>
  </r>
  <r>
    <x v="14"/>
    <s v="item"/>
    <x v="18"/>
    <n v="1"/>
    <n v="1"/>
    <n v="0.05"/>
    <n v="5"/>
    <n v="0.05"/>
    <n v="0.01"/>
    <n v="100"/>
  </r>
  <r>
    <x v="13"/>
    <s v="item"/>
    <x v="19"/>
    <n v="2"/>
    <n v="5"/>
    <n v="1"/>
    <n v="2"/>
    <n v="3.5"/>
    <n v="1.75"/>
    <n v="0.5714285714285714"/>
  </r>
  <r>
    <x v="13"/>
    <s v="item"/>
    <x v="8"/>
    <n v="5"/>
    <n v="5"/>
    <n v="1"/>
    <n v="2"/>
    <n v="5"/>
    <n v="2.5"/>
    <n v="0.4"/>
  </r>
  <r>
    <x v="2"/>
    <s v="item"/>
    <x v="20"/>
    <n v="2"/>
    <n v="2"/>
    <n v="1"/>
    <n v="5"/>
    <n v="2"/>
    <n v="0.4"/>
    <n v="2.5"/>
  </r>
  <r>
    <x v="2"/>
    <s v="item"/>
    <x v="0"/>
    <n v="3"/>
    <n v="3"/>
    <n v="1"/>
    <n v="5"/>
    <n v="3"/>
    <n v="0.6"/>
    <n v="1.6666666666666667"/>
  </r>
  <r>
    <x v="3"/>
    <s v="item"/>
    <x v="21"/>
    <n v="4"/>
    <n v="4"/>
    <n v="1"/>
    <n v="5"/>
    <n v="4"/>
    <n v="0.8"/>
    <n v="1.25"/>
  </r>
  <r>
    <x v="3"/>
    <s v="item"/>
    <x v="22"/>
    <n v="10"/>
    <n v="10"/>
    <n v="1"/>
    <n v="5"/>
    <n v="10"/>
    <n v="2"/>
    <n v="0.5"/>
  </r>
  <r>
    <x v="4"/>
    <s v="item"/>
    <x v="23"/>
    <n v="2"/>
    <n v="2"/>
    <n v="1"/>
    <n v="5"/>
    <n v="2"/>
    <n v="0.4"/>
    <n v="2.5"/>
  </r>
  <r>
    <x v="4"/>
    <s v="item"/>
    <x v="24"/>
    <n v="5"/>
    <n v="5"/>
    <n v="1"/>
    <n v="5"/>
    <n v="5"/>
    <n v="1"/>
    <n v="1"/>
  </r>
  <r>
    <x v="5"/>
    <s v="item"/>
    <x v="8"/>
    <n v="0"/>
    <n v="0"/>
    <n v="1"/>
    <n v="5"/>
    <n v="0"/>
    <n v="0"/>
    <n v="0"/>
  </r>
  <r>
    <x v="5"/>
    <s v="item"/>
    <x v="10"/>
    <n v="10"/>
    <n v="14"/>
    <n v="1"/>
    <n v="5"/>
    <n v="12"/>
    <n v="2.4"/>
    <n v="0.41666666666666669"/>
  </r>
  <r>
    <x v="6"/>
    <s v="item"/>
    <x v="8"/>
    <n v="0"/>
    <n v="0"/>
    <n v="1"/>
    <n v="5"/>
    <n v="0"/>
    <n v="0"/>
    <n v="0"/>
  </r>
  <r>
    <x v="6"/>
    <s v="item"/>
    <x v="25"/>
    <n v="1"/>
    <n v="1"/>
    <n v="0.3"/>
    <n v="5"/>
    <n v="0.3"/>
    <n v="0.06"/>
    <n v="16.666666666666668"/>
  </r>
  <r>
    <x v="6"/>
    <s v="item"/>
    <x v="26"/>
    <n v="3"/>
    <n v="5"/>
    <n v="1"/>
    <n v="5"/>
    <n v="4"/>
    <n v="0.8"/>
    <n v="1.25"/>
  </r>
  <r>
    <x v="7"/>
    <s v="item"/>
    <x v="15"/>
    <n v="1"/>
    <n v="2"/>
    <n v="0.3"/>
    <n v="5"/>
    <n v="0.44999999999999996"/>
    <n v="0.09"/>
    <n v="11.111111111111111"/>
  </r>
  <r>
    <x v="7"/>
    <s v="item"/>
    <x v="14"/>
    <n v="1"/>
    <n v="2"/>
    <n v="0.3"/>
    <n v="5"/>
    <n v="0.44999999999999996"/>
    <n v="0.09"/>
    <n v="11.111111111111111"/>
  </r>
  <r>
    <x v="7"/>
    <s v="item"/>
    <x v="16"/>
    <n v="10"/>
    <n v="20"/>
    <n v="1"/>
    <n v="5"/>
    <n v="15"/>
    <n v="3"/>
    <n v="0.33333333333333331"/>
  </r>
  <r>
    <x v="14"/>
    <s v="item"/>
    <x v="27"/>
    <n v="1"/>
    <n v="2"/>
    <n v="0.4"/>
    <n v="5"/>
    <n v="0.60000000000000009"/>
    <n v="0.12000000000000002"/>
    <n v="8.3333333333333321"/>
  </r>
  <r>
    <x v="14"/>
    <s v="item"/>
    <x v="8"/>
    <n v="0"/>
    <n v="0"/>
    <n v="1"/>
    <n v="5"/>
    <n v="0"/>
    <n v="0"/>
    <n v="0"/>
  </r>
  <r>
    <x v="14"/>
    <s v="item"/>
    <x v="28"/>
    <n v="10"/>
    <n v="15"/>
    <n v="1"/>
    <n v="5"/>
    <n v="12.5"/>
    <n v="2.5"/>
    <n v="0.4"/>
  </r>
  <r>
    <x v="9"/>
    <s v="item"/>
    <x v="1"/>
    <n v="5"/>
    <n v="8"/>
    <n v="1"/>
    <n v="5"/>
    <n v="6.5"/>
    <n v="1.3"/>
    <n v="0.76923076923076916"/>
  </r>
  <r>
    <x v="9"/>
    <s v="item"/>
    <x v="29"/>
    <n v="5"/>
    <n v="8"/>
    <n v="1"/>
    <n v="5"/>
    <n v="6.5"/>
    <n v="1.3"/>
    <n v="0.76923076923076916"/>
  </r>
  <r>
    <x v="15"/>
    <s v="item"/>
    <x v="10"/>
    <n v="12"/>
    <n v="12"/>
    <n v="1"/>
    <n v="5"/>
    <n v="12"/>
    <n v="2.4"/>
    <n v="0.41666666666666669"/>
  </r>
  <r>
    <x v="15"/>
    <s v="fluid"/>
    <x v="30"/>
    <n v="2000"/>
    <n v="2000"/>
    <n v="1"/>
    <n v="5"/>
    <n v="2000"/>
    <n v="400"/>
    <n v="2.5000000000000001E-3"/>
  </r>
  <r>
    <x v="16"/>
    <s v="item"/>
    <x v="18"/>
    <n v="1"/>
    <n v="1"/>
    <n v="0.2"/>
    <n v="2"/>
    <n v="0.2"/>
    <n v="0.1"/>
    <n v="10"/>
  </r>
  <r>
    <x v="16"/>
    <s v="item"/>
    <x v="8"/>
    <n v="0"/>
    <n v="0"/>
    <n v="1"/>
    <n v="2"/>
    <n v="0"/>
    <n v="0"/>
    <n v="0"/>
  </r>
  <r>
    <x v="16"/>
    <s v="item"/>
    <x v="28"/>
    <n v="5"/>
    <n v="10"/>
    <n v="1"/>
    <n v="2"/>
    <n v="7.5"/>
    <n v="3.75"/>
    <n v="0.26666666666666666"/>
  </r>
  <r>
    <x v="17"/>
    <s v="item"/>
    <x v="22"/>
    <n v="20"/>
    <n v="20"/>
    <n v="1"/>
    <n v="2"/>
    <n v="20"/>
    <n v="10"/>
    <n v="0.1"/>
  </r>
  <r>
    <x v="18"/>
    <s v="item"/>
    <x v="24"/>
    <n v="10"/>
    <n v="10"/>
    <n v="1"/>
    <n v="2"/>
    <n v="10"/>
    <n v="5"/>
    <n v="0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16AC42-1936-41FC-8B24-3525686E4C3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H8" firstHeaderRow="1" firstDataRow="2" firstDataCol="1"/>
  <pivotFields count="10">
    <pivotField axis="axisRow" showAll="0">
      <items count="20">
        <item x="8"/>
        <item h="1" x="15"/>
        <item h="1" x="9"/>
        <item x="14"/>
        <item h="1" x="7"/>
        <item h="1" x="6"/>
        <item h="1" x="5"/>
        <item h="1" x="4"/>
        <item h="1" x="3"/>
        <item h="1" x="2"/>
        <item h="1" x="13"/>
        <item x="16"/>
        <item h="1" x="12"/>
        <item h="1" x="11"/>
        <item h="1" x="10"/>
        <item h="1" x="1"/>
        <item h="1" x="0"/>
        <item h="1" x="17"/>
        <item h="1" x="18"/>
        <item t="default"/>
      </items>
    </pivotField>
    <pivotField showAll="0"/>
    <pivotField axis="axisCol" showAll="0">
      <items count="32">
        <item h="1" x="13"/>
        <item h="1" x="9"/>
        <item h="1" x="18"/>
        <item h="1" x="7"/>
        <item h="1" x="6"/>
        <item x="1"/>
        <item h="1" x="5"/>
        <item x="20"/>
        <item x="24"/>
        <item h="1" x="4"/>
        <item x="29"/>
        <item x="21"/>
        <item x="12"/>
        <item x="27"/>
        <item x="17"/>
        <item x="0"/>
        <item x="22"/>
        <item x="15"/>
        <item x="30"/>
        <item x="19"/>
        <item h="1" x="3"/>
        <item h="1" x="2"/>
        <item x="28"/>
        <item x="16"/>
        <item x="8"/>
        <item x="23"/>
        <item x="10"/>
        <item x="25"/>
        <item x="26"/>
        <item x="11"/>
        <item x="14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0"/>
  </rowFields>
  <rowItems count="4">
    <i>
      <x/>
    </i>
    <i>
      <x v="3"/>
    </i>
    <i>
      <x v="11"/>
    </i>
    <i t="grand">
      <x/>
    </i>
  </rowItems>
  <colFields count="1">
    <field x="2"/>
  </colFields>
  <colItems count="6">
    <i>
      <x v="12"/>
    </i>
    <i>
      <x v="13"/>
    </i>
    <i>
      <x v="14"/>
    </i>
    <i>
      <x v="22"/>
    </i>
    <i>
      <x v="24"/>
    </i>
    <i t="grand">
      <x/>
    </i>
  </colItems>
  <dataFields count="1">
    <dataField name="Sum of EV" fld="7" baseField="0" baseItem="0"/>
  </dataFields>
  <formats count="15">
    <format dxfId="118">
      <pivotArea collapsedLevelsAreSubtotals="1" fieldPosition="0">
        <references count="1">
          <reference field="0" count="0"/>
        </references>
      </pivotArea>
    </format>
    <format dxfId="117">
      <pivotArea type="origin" dataOnly="0" labelOnly="1" outline="0" fieldPosition="0"/>
    </format>
    <format dxfId="116">
      <pivotArea field="2" type="button" dataOnly="0" labelOnly="1" outline="0" axis="axisCol" fieldPosition="0"/>
    </format>
    <format dxfId="115">
      <pivotArea type="topRight" dataOnly="0" labelOnly="1" outline="0" fieldPosition="0"/>
    </format>
    <format dxfId="114">
      <pivotArea dataOnly="0" labelOnly="1" fieldPosition="0">
        <references count="1">
          <reference field="2" count="19">
            <x v="5"/>
            <x v="7"/>
            <x v="8"/>
            <x v="10"/>
            <x v="11"/>
            <x v="13"/>
            <x v="15"/>
            <x v="16"/>
            <x v="17"/>
            <x v="19"/>
            <x v="22"/>
            <x v="23"/>
            <x v="24"/>
            <x v="25"/>
            <x v="26"/>
            <x v="27"/>
            <x v="28"/>
            <x v="29"/>
            <x v="30"/>
          </reference>
        </references>
      </pivotArea>
    </format>
    <format dxfId="113">
      <pivotArea type="origin" dataOnly="0" labelOnly="1" outline="0" fieldPosition="0"/>
    </format>
    <format dxfId="112">
      <pivotArea field="2" type="button" dataOnly="0" labelOnly="1" outline="0" axis="axisCol" fieldPosition="0"/>
    </format>
    <format dxfId="111">
      <pivotArea type="topRight" dataOnly="0" labelOnly="1" outline="0" fieldPosition="0"/>
    </format>
    <format dxfId="110">
      <pivotArea dataOnly="0" labelOnly="1" fieldPosition="0">
        <references count="1">
          <reference field="2" count="19">
            <x v="5"/>
            <x v="7"/>
            <x v="8"/>
            <x v="10"/>
            <x v="11"/>
            <x v="13"/>
            <x v="15"/>
            <x v="16"/>
            <x v="17"/>
            <x v="19"/>
            <x v="22"/>
            <x v="23"/>
            <x v="24"/>
            <x v="25"/>
            <x v="26"/>
            <x v="27"/>
            <x v="28"/>
            <x v="29"/>
            <x v="30"/>
          </reference>
        </references>
      </pivotArea>
    </format>
    <format dxfId="109">
      <pivotArea field="0" type="button" dataOnly="0" labelOnly="1" outline="0" axis="axisRow" fieldPosition="0"/>
    </format>
    <format dxfId="108">
      <pivotArea dataOnly="0" labelOnly="1" fieldPosition="0">
        <references count="1">
          <reference field="2" count="5">
            <x v="12"/>
            <x v="13"/>
            <x v="14"/>
            <x v="22"/>
            <x v="24"/>
          </reference>
        </references>
      </pivotArea>
    </format>
    <format dxfId="107">
      <pivotArea dataOnly="0" labelOnly="1" grandCol="1" outline="0" fieldPosition="0"/>
    </format>
    <format dxfId="106">
      <pivotArea field="0" type="button" dataOnly="0" labelOnly="1" outline="0" axis="axisRow" fieldPosition="0"/>
    </format>
    <format dxfId="105">
      <pivotArea dataOnly="0" labelOnly="1" fieldPosition="0">
        <references count="1">
          <reference field="2" count="5">
            <x v="12"/>
            <x v="13"/>
            <x v="14"/>
            <x v="22"/>
            <x v="24"/>
          </reference>
        </references>
      </pivotArea>
    </format>
    <format dxfId="104">
      <pivotArea dataOnly="0" labelOnly="1" grandCol="1" outline="0" fieldPosition="0"/>
    </format>
  </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40CBA73-1789-411C-B087-BDA52E3935F5}" autoFormatId="16" applyNumberFormats="0" applyBorderFormats="0" applyFontFormats="0" applyPatternFormats="0" applyAlignmentFormats="0" applyWidthHeightFormats="0">
  <queryTableRefresh nextId="26">
    <queryTableFields count="25">
      <queryTableField id="1" name="Recipe" tableColumnId="1"/>
      <queryTableField id="2" name="Unwritten?" tableColumnId="2"/>
      <queryTableField id="3" name="Advanced?" tableColumnId="3"/>
      <queryTableField id="4" name="Variable's Name" tableColumnId="4"/>
      <queryTableField id="5" name="name" tableColumnId="5"/>
      <queryTableField id="6" name="Result_1_type" tableColumnId="6"/>
      <queryTableField id="7" name="Result_1_name" tableColumnId="7"/>
      <queryTableField id="8" name="Result_1_amt_min" tableColumnId="8"/>
      <queryTableField id="9" name="Result_1_amt_max" tableColumnId="9"/>
      <queryTableField id="10" name="Result_1_P" tableColumnId="10"/>
      <queryTableField id="11" name="Result_2_type" tableColumnId="11"/>
      <queryTableField id="12" name="Result_2_name" tableColumnId="12"/>
      <queryTableField id="13" name="Result_2_amt_min" tableColumnId="13"/>
      <queryTableField id="14" name="Result_2_amt_max" tableColumnId="14"/>
      <queryTableField id="15" name="Result_2_P" tableColumnId="15"/>
      <queryTableField id="16" name="Result_3_type" tableColumnId="16"/>
      <queryTableField id="17" name="Result_3_name" tableColumnId="17"/>
      <queryTableField id="18" name="Result_3_amt_min" tableColumnId="18"/>
      <queryTableField id="19" name="Result_3_amt_max" tableColumnId="19"/>
      <queryTableField id="20" name="Result_3_P" tableColumnId="20"/>
      <queryTableField id="21" name="Result_4_type" tableColumnId="21"/>
      <queryTableField id="22" name="Result_4_name" tableColumnId="22"/>
      <queryTableField id="23" name="Result_4_amt_min" tableColumnId="23"/>
      <queryTableField id="24" name="Result_4_amt_max" tableColumnId="24"/>
      <queryTableField id="25" name="Result_4_P" tableColumnId="25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</v>
    <v>8</v>
    <v>0</v>
    <v>5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subType" t="i"/>
  </s>
</rvStructure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A0BFF85-5E25-44F5-989C-05E81AFBA27C}" name="Table4" displayName="Table4" ref="B3:AB25" totalsRowShown="0" headerRowDxfId="103">
  <autoFilter ref="B3:AB25" xr:uid="{9A0BFF85-5E25-44F5-989C-05E81AFBA27C}"/>
  <tableColumns count="27">
    <tableColumn id="1" xr3:uid="{B1A354A2-D591-4F7C-89E1-AB75527E5993}" name="Recipe"/>
    <tableColumn id="27" xr3:uid="{1411294A-B7C7-4726-B55B-8DABEE6ED457}" name="energy_required" dataDxfId="102">
      <calculatedColumnFormula>INDEX(Table7[energy_required], MATCH(Table4[[#This Row],[Recipe]], Table7[Recipe], 0))</calculatedColumnFormula>
    </tableColumn>
    <tableColumn id="2" xr3:uid="{7F80CA45-0C9C-4D9D-A37C-6DF3AD5E0BEB}" name="iron-ore" dataDxfId="101"/>
    <tableColumn id="3" xr3:uid="{AC60A2AA-9D82-482D-A597-78045793B05D}" name="copper-ore" dataDxfId="100"/>
    <tableColumn id="4" xr3:uid="{5029DD94-2977-4B99-94DB-19EA67D75D22}" name="carbon" dataDxfId="99"/>
    <tableColumn id="5" xr3:uid="{52F010C3-27DB-43E9-A9D6-11A1C5DB092F}" name="sulfur" dataDxfId="98"/>
    <tableColumn id="6" xr3:uid="{F06F185C-FC3F-465E-B9E4-758205B9F0F4}" name="ice" dataDxfId="97"/>
    <tableColumn id="7" xr3:uid="{1554F3DE-DB8B-471F-922A-8D30297584F3}" name="calcite" dataDxfId="96"/>
    <tableColumn id="8" xr3:uid="{E7F322CB-036A-403C-8BF8-6B20B8C6CCD1}" name="Oil Thing" dataDxfId="95">
      <calculatedColumnFormula array="1">_xlfn.LET(_xlpm.recipeResults, _xlfn._xlws.FILTER(Table7[[Results 1]:[Results 4]], Table7[Recipe] = Table4[[#This Row],[Recipe]]),
     IFERROR(
     _xlfn._xlws.FILTER(_xlpm.recipeResults, ISNUMBER(SEARCH(J$3, _xlpm.recipeResults))), " - ") )</calculatedColumnFormula>
    </tableColumn>
    <tableColumn id="26" xr3:uid="{C4622E41-2D57-42C3-A31B-EF19C158ACB5}" name="solid-fuel" dataDxfId="94">
      <calculatedColumnFormula array="1">_xlfn.LET(_xlpm.recipeResults, _xlfn._xlws.FILTER(Table7[[Results 1]:[Results 4]], Table7[Recipe] = Table4[[#This Row],[Recipe]]),
     IFERROR(
     _xlfn._xlws.FILTER(_xlpm.recipeResults, ISNUMBER(SEARCH(K$3, _xlpm.recipeResults))), " - ") )</calculatedColumnFormula>
    </tableColumn>
    <tableColumn id="9" xr3:uid="{F529E26B-0253-4C02-95D8-95DB987CD83E}" name="coal" dataDxfId="93"/>
    <tableColumn id="10" xr3:uid="{D18F88A9-729A-4165-BA55-675D11D2231A}" name="stone" dataDxfId="92"/>
    <tableColumn id="11" xr3:uid="{57DAEF24-F8A7-492C-9706-2674BFBB49E1}" name="uranium-ore" dataDxfId="91">
      <calculatedColumnFormula array="1">_xlfn.LET(_xlpm.recipeResults, _xlfn._xlws.FILTER(Table7[[Results 1]:[Results 4]], Table7[Recipe] = Table4[[#This Row],[Recipe]]),
     IFERROR(
     _xlfn._xlws.FILTER(_xlpm.recipeResults, ISNUMBER(SEARCH(N$3, _xlpm.recipeResults))), " - ") )</calculatedColumnFormula>
    </tableColumn>
    <tableColumn id="23" xr3:uid="{688FF19F-43DB-4F57-B5C7-CB20C171B5A5}" name="uranium-238" dataDxfId="90"/>
    <tableColumn id="24" xr3:uid="{8B59E641-D762-475E-BE04-0AD557DA2633}" name="uranium-235" dataDxfId="89"/>
    <tableColumn id="12" xr3:uid="{49325880-AB22-406C-9EBF-F9714278E54F}" name="tungsten-ore" dataDxfId="88"/>
    <tableColumn id="25" xr3:uid="{4B574229-0587-4E11-816D-60F689340097}" name="lava" dataDxfId="87"/>
    <tableColumn id="13" xr3:uid="{876F7B27-7476-478B-9F55-220BB73A33D4}" name="scrap" dataDxfId="86"/>
    <tableColumn id="14" xr3:uid="{1D9F494D-4B80-42A5-85C3-6484CB3803F7}" name="yumako-seed" dataDxfId="85"/>
    <tableColumn id="15" xr3:uid="{CC0EBC6A-4432-4CBA-A41B-E7B6031BD83F}" name="jellynut-seed" dataDxfId="84"/>
    <tableColumn id="16" xr3:uid="{2B7FB235-2E10-4FA1-BC7C-964E7947466A}" name="spoilage" dataDxfId="83"/>
    <tableColumn id="17" xr3:uid="{CEE0F52B-14B0-48FB-AD2F-A1A1A9DACF76}" name="Dormant Pentapod Egg" dataDxfId="82"/>
    <tableColumn id="18" xr3:uid="{F34385CF-1935-4968-8261-48F21ADB2D44}" name="(tbd) ammonia" dataDxfId="81"/>
    <tableColumn id="19" xr3:uid="{405DEB99-0752-4FA5-BCC3-09F744698489}" name="(tbd) flourine" dataDxfId="80"/>
    <tableColumn id="20" xr3:uid="{ADD7E20E-3FB5-4185-8AD9-7781DF09236F}" name="(tbd) lithium" dataDxfId="79"/>
    <tableColumn id="21" xr3:uid="{82818854-DC1B-485E-9809-F8B0261BEDE0}" name="(tbd) promethium" dataDxfId="78"/>
    <tableColumn id="22" xr3:uid="{5634330F-FEBB-4799-90EC-922642138192}" name="Holmium Solution" dataDxfId="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0716056-6DAF-4F3B-B82E-A4E69F0450D7}" name="Chunk_Items" displayName="Chunk_Items" ref="B8:I13" totalsRowShown="0">
  <autoFilter ref="B8:I13" xr:uid="{50716056-6DAF-4F3B-B82E-A4E69F0450D7}"/>
  <sortState xmlns:xlrd2="http://schemas.microsoft.com/office/spreadsheetml/2017/richdata2" ref="B9:H13">
    <sortCondition ref="B8:B13"/>
  </sortState>
  <tableColumns count="8">
    <tableColumn id="1" xr3:uid="{EFD8865D-C9ED-4BA8-B73C-113EDAD68DA5}" name="Variable's Name"/>
    <tableColumn id="3" xr3:uid="{1A67492A-77CF-48AB-9609-594DA5CCF328}" name="name"/>
    <tableColumn id="2" xr3:uid="{587148E6-4B98-4DD4-8691-6E43006C9E89}" name="type" dataDxfId="76">
      <calculatedColumnFormula>"""item"""</calculatedColumnFormula>
    </tableColumn>
    <tableColumn id="4" xr3:uid="{4C2D2AEB-4928-4F13-91B0-2184B98F54BD}" name="subgroup" dataDxfId="75">
      <calculatedColumnFormula>"""space-material"""</calculatedColumnFormula>
    </tableColumn>
    <tableColumn id="5" xr3:uid="{A45CDEC7-39DE-4333-8E31-011D04DA2762}" name="order"/>
    <tableColumn id="6" xr3:uid="{499C643B-C1ED-4A32-BE42-9946CC52BC6E}" name="icon"/>
    <tableColumn id="7" xr3:uid="{834AC55A-1278-424D-94B7-2EDF700340B6}" name="stack_size" dataDxfId="74">
      <calculatedColumnFormula>1</calculatedColumnFormula>
    </tableColumn>
    <tableColumn id="8" xr3:uid="{9145470B-0772-4705-8B45-24698F613F56}" name="full string" dataDxfId="73">
      <calculatedColumnFormula array="1">_xlfn.TEXTJOIN("
", TRUE, Chunk_Items[[#This Row],[Variable''s Name]] &amp; "." &amp; Chunk_Items[[#Headers],[name]:[stack_size]] &amp; " = " &amp; Chunk_Items[[#This Row],[name]:[stack_size]])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95CADF-49B1-4F25-9D20-A564B80F80A3}" name="Chunks" displayName="Chunks" ref="K8:Q13" totalsRowShown="0">
  <autoFilter ref="K8:Q13" xr:uid="{6D95CADF-49B1-4F25-9D20-A564B80F80A3}"/>
  <sortState xmlns:xlrd2="http://schemas.microsoft.com/office/spreadsheetml/2017/richdata2" ref="K9:P10">
    <sortCondition ref="K8:K10"/>
  </sortState>
  <tableColumns count="7">
    <tableColumn id="1" xr3:uid="{9C8B2B85-651A-48F5-BE74-6B0CB5EC6401}" name="Variable's Name"/>
    <tableColumn id="3" xr3:uid="{5CB5E631-FE01-4CDD-A4B3-008A4C86A223}" name="name"/>
    <tableColumn id="2" xr3:uid="{36E1B303-2D0B-4894-BA0E-22315D6AA6E7}" name="type" dataDxfId="72">
      <calculatedColumnFormula>"""asteroid-chunk"""</calculatedColumnFormula>
    </tableColumn>
    <tableColumn id="4" xr3:uid="{33E8079D-0ADE-49CC-8F5F-FB561D1043C6}" name="minable" dataDxfId="71"/>
    <tableColumn id="5" xr3:uid="{2D398BB0-41AE-40CE-AA0F-6FA6647FFA57}" name="order"/>
    <tableColumn id="6" xr3:uid="{82F86FA9-1FFF-4AFF-A528-DD559BDA3930}" name="icon"/>
    <tableColumn id="7" xr3:uid="{8D2BAF1D-A998-4CFE-AE20-A7C5A809314F}" name="full string" dataDxfId="70">
      <calculatedColumnFormula array="1">_xlfn.TEXTJOIN("
", TRUE, Chunks[[#This Row],[Variable''s Name]] &amp; "." &amp; Chunks[[#Headers],[name]:[icon]] &amp; " = " &amp; Chunks[[#This Row],[name]:[icon]])</calculatedColumnFormula>
    </tableColumn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53CB6FB-2E2C-443B-95B1-3E2AFFD034E2}" name="Table7_1" displayName="Table7_1" ref="A1:Y21" tableType="queryTable" totalsRowShown="0">
  <autoFilter ref="A1:Y21" xr:uid="{E53CB6FB-2E2C-443B-95B1-3E2AFFD034E2}"/>
  <tableColumns count="25">
    <tableColumn id="1" xr3:uid="{25B70940-94F8-4DB8-88CD-A28BB25BF46D}" uniqueName="1" name="Recipe" queryTableFieldId="1" dataDxfId="69"/>
    <tableColumn id="2" xr3:uid="{6938BA52-64B5-4541-85FE-0568CF57BE53}" uniqueName="2" name="Unwritten?" queryTableFieldId="2" dataDxfId="68"/>
    <tableColumn id="3" xr3:uid="{1B648304-5C74-4610-8A43-DF788A2F0682}" uniqueName="3" name="Advanced?" queryTableFieldId="3"/>
    <tableColumn id="4" xr3:uid="{71899E0C-12BA-4960-936B-611EB515C0AC}" uniqueName="4" name="Variable's Name" queryTableFieldId="4" dataDxfId="67"/>
    <tableColumn id="5" xr3:uid="{47AADCB0-91CC-4ACD-BC22-48C0ABAD5DDF}" uniqueName="5" name="name" queryTableFieldId="5" dataDxfId="66"/>
    <tableColumn id="6" xr3:uid="{0AAE9926-1717-4A7C-81EF-968AF648698F}" uniqueName="6" name="Result_1_type" queryTableFieldId="6" dataDxfId="65"/>
    <tableColumn id="7" xr3:uid="{B8E38A26-43C7-4117-B451-06DBBE98CF09}" uniqueName="7" name="Result_1_name" queryTableFieldId="7" dataDxfId="64"/>
    <tableColumn id="8" xr3:uid="{232E0949-6EC0-4070-B3B6-D5527152EC92}" uniqueName="8" name="Result_1_amt_min" queryTableFieldId="8"/>
    <tableColumn id="9" xr3:uid="{406E71DF-32D1-4345-A52D-B7D3102D97F3}" uniqueName="9" name="Result_1_amt_max" queryTableFieldId="9"/>
    <tableColumn id="10" xr3:uid="{D6695C50-86D7-422B-926F-5110F80F5466}" uniqueName="10" name="Result_1_P" queryTableFieldId="10"/>
    <tableColumn id="11" xr3:uid="{12F89D76-7449-448D-98CC-D411D1475A3E}" uniqueName="11" name="Result_2_type" queryTableFieldId="11" dataDxfId="63"/>
    <tableColumn id="12" xr3:uid="{586F2CF2-DA91-4E08-AD5D-AE1B76BC7EC0}" uniqueName="12" name="Result_2_name" queryTableFieldId="12" dataDxfId="62"/>
    <tableColumn id="13" xr3:uid="{591FD322-8C8B-4CEA-ADEC-225C7718C7EA}" uniqueName="13" name="Result_2_amt_min" queryTableFieldId="13"/>
    <tableColumn id="14" xr3:uid="{35B09536-BD39-4556-A5A6-8B26833986F8}" uniqueName="14" name="Result_2_amt_max" queryTableFieldId="14"/>
    <tableColumn id="15" xr3:uid="{D7B93839-634E-4DAC-A31C-74371349085E}" uniqueName="15" name="Result_2_P" queryTableFieldId="15"/>
    <tableColumn id="16" xr3:uid="{173610F8-5BDC-4DC9-8017-BD40CD5A84C2}" uniqueName="16" name="Result_3_type" queryTableFieldId="16" dataDxfId="61"/>
    <tableColumn id="17" xr3:uid="{A26C6901-F141-49CF-93BE-A3486152942F}" uniqueName="17" name="Result_3_name" queryTableFieldId="17" dataDxfId="60"/>
    <tableColumn id="18" xr3:uid="{9D777C1E-B7F3-4D13-9252-6FA1242AC1C6}" uniqueName="18" name="Result_3_amt_min" queryTableFieldId="18"/>
    <tableColumn id="19" xr3:uid="{B85EEF5E-B938-4781-8FDD-89BA612694AB}" uniqueName="19" name="Result_3_amt_max" queryTableFieldId="19"/>
    <tableColumn id="20" xr3:uid="{CF44E894-9365-4B08-A015-D19576C0C054}" uniqueName="20" name="Result_3_P" queryTableFieldId="20"/>
    <tableColumn id="21" xr3:uid="{4191E007-5B61-405E-834E-CB82EC4E6D01}" uniqueName="21" name="Result_4_type" queryTableFieldId="21" dataDxfId="59"/>
    <tableColumn id="22" xr3:uid="{6E00A2BA-308B-4E79-AE13-BA2B7FF3266E}" uniqueName="22" name="Result_4_name" queryTableFieldId="22" dataDxfId="58"/>
    <tableColumn id="23" xr3:uid="{B08DA47E-615C-42A2-B48F-E089661FB480}" uniqueName="23" name="Result_4_amt_min" queryTableFieldId="23"/>
    <tableColumn id="24" xr3:uid="{80FE8B91-761C-4A2E-84E2-899EEE89286A}" uniqueName="24" name="Result_4_amt_max" queryTableFieldId="24"/>
    <tableColumn id="25" xr3:uid="{B57634A6-34CE-4EA5-9B05-C8F84F58A41A}" uniqueName="25" name="Result_4_P" queryTableFieldId="2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96E5AF8-4762-451C-9EC5-44266BFF352B}" name="Table7" displayName="Table7" ref="C7:AP28" totalsRowShown="0" headerRowDxfId="57">
  <autoFilter ref="C7:AP28" xr:uid="{996E5AF8-4762-451C-9EC5-44266BFF352B}"/>
  <tableColumns count="40">
    <tableColumn id="1" xr3:uid="{1C7B22C3-8503-40CA-B985-0F11F98EB3C6}" name="Recipe"/>
    <tableColumn id="12" xr3:uid="{44C30B7E-3F48-43EE-A476-EAF4BA20C75A}" name="Unwritten?" dataDxfId="56"/>
    <tableColumn id="41" xr3:uid="{6E5608DA-75C3-48D4-92AF-824B8C6B9141}" name="Advanced?" dataDxfId="55">
      <calculatedColumnFormula>OR(ISNUMBER(SEARCH("Adv", Table7[[#This Row],[Recipe]])), ISNUMBER(SEARCH("Special", Table7[[#This Row],[Recipe]])))</calculatedColumnFormula>
    </tableColumn>
    <tableColumn id="39" xr3:uid="{D73BFE2A-2B7F-460C-B8F4-2293AE8F1CDF}" name="Variable's Name" dataDxfId="54"/>
    <tableColumn id="2" xr3:uid="{E995243B-09A0-4B61-9891-2750A2869DC3}" name="name" dataDxfId="53"/>
    <tableColumn id="4" xr3:uid="{503397F1-8755-4CF0-8F78-A9F7740B5790}" name="icon" dataDxfId="52"/>
    <tableColumn id="5" xr3:uid="{68F82173-B464-4B40-AC23-3E4F9BE9F52A}" name="order" dataDxfId="51"/>
    <tableColumn id="6" xr3:uid="{41FF6C48-F0D3-46AF-A21F-51ACC01FAB0C}" name="enabled" dataDxfId="50"/>
    <tableColumn id="14" xr3:uid="{D9A98507-2FB7-4229-B1C0-4B1DA8557E9F}" name="energy_required" dataDxfId="49"/>
    <tableColumn id="7" xr3:uid="{49007205-346D-4C29-AD68-C79FA0EA720B}" name="Ingredient 1" dataDxfId="48"/>
    <tableColumn id="15" xr3:uid="{805B845F-9765-4945-826D-8F506E139BE2}" name="Ingredient 2" dataDxfId="47"/>
    <tableColumn id="16" xr3:uid="{D892DCC1-CA40-40C6-A026-DE02CB8B8541}" name="Ingredient 1 Amount" dataDxfId="46"/>
    <tableColumn id="17" xr3:uid="{043F0671-10F0-435E-93F6-76D671AC8761}" name="Ingredient 2 Amount" dataDxfId="45"/>
    <tableColumn id="3" xr3:uid="{8EF822E8-07FB-4876-8800-25F2A9B81873}" name="Result_1_type" dataDxfId="0">
      <calculatedColumnFormula array="1">INDEX(Table8[type], MATCH(Table7[[#This Row],[Recipe]], Table8[Recipe], 0) + 0)</calculatedColumnFormula>
    </tableColumn>
    <tableColumn id="30" xr3:uid="{36B4E4F7-052E-4455-A6CA-FFCC3E9245F7}" name="Result_1_name" dataDxfId="20">
      <calculatedColumnFormula array="1">INDEX(Table8[name], MATCH(Table7[[#This Row],[Recipe]], Table8[Recipe], 0) + 0)</calculatedColumnFormula>
    </tableColumn>
    <tableColumn id="27" xr3:uid="{9C3D4CEF-5F40-4B68-BD87-448388551748}" name="Result_1_amt_min" dataDxfId="19">
      <calculatedColumnFormula array="1">INDEX(Table8[amount_min], MATCH(Table7[[#This Row],[Recipe]], Table8[Recipe], 0) + 0)</calculatedColumnFormula>
    </tableColumn>
    <tableColumn id="26" xr3:uid="{F871C881-69CD-4795-AB43-8B752D2E5250}" name="Result_1_amt_max" dataDxfId="18">
      <calculatedColumnFormula array="1">INDEX(Table8[amount_max], MATCH(Table7[[#This Row],[Recipe]], Table8[Recipe], 0) + 0)</calculatedColumnFormula>
    </tableColumn>
    <tableColumn id="28" xr3:uid="{6E355266-0C10-4989-9F5C-656E5531B809}" name="Result_1_P" dataDxfId="17">
      <calculatedColumnFormula array="1">INDEX(Table8[P], MATCH(Table7[[#This Row],[Recipe]], Table8[Recipe], 0) + 0)</calculatedColumnFormula>
    </tableColumn>
    <tableColumn id="34" xr3:uid="{F666EFD4-EFAB-4ED2-9F8C-93F381615487}" name="Result_2_type" dataDxfId="15">
      <calculatedColumnFormula array="1">INDEX(Table8[type], MATCH(Table7[[#This Row],[Recipe]], Table8[Recipe], 0) + 1)</calculatedColumnFormula>
    </tableColumn>
    <tableColumn id="31" xr3:uid="{EBAA7D64-5ABB-4E65-8B5B-00682D717ECF}" name="Result_2_name" dataDxfId="14">
      <calculatedColumnFormula array="1">INDEX(Table8[name], MATCH(Table7[[#This Row],[Recipe]], Table8[Recipe], 0) + 1)</calculatedColumnFormula>
    </tableColumn>
    <tableColumn id="22" xr3:uid="{0F604324-0BE1-40EA-BC68-971D78B203CD}" name="Result_2_amt_min" dataDxfId="13">
      <calculatedColumnFormula array="1">INDEX(Table8[amount_min], MATCH(Table7[[#This Row],[Recipe]], Table8[Recipe], 0) + 1)</calculatedColumnFormula>
    </tableColumn>
    <tableColumn id="29" xr3:uid="{95845240-17DF-4258-A672-6BC4AC4F0623}" name="Result_2_amt_max" dataDxfId="12">
      <calculatedColumnFormula array="1">INDEX(Table8[amount_max], MATCH(Table7[[#This Row],[Recipe]], Table8[Recipe], 0) + 1)</calculatedColumnFormula>
    </tableColumn>
    <tableColumn id="23" xr3:uid="{F05C630D-F7F6-4014-91DB-C5753DF18CBC}" name="Result_2_P" dataDxfId="11">
      <calculatedColumnFormula array="1">INDEX(Table8[P], MATCH(Table7[[#This Row],[Recipe]], Table8[Recipe], 0) + 1)</calculatedColumnFormula>
    </tableColumn>
    <tableColumn id="35" xr3:uid="{29FDA9C5-AC15-474C-B065-A8F35BA59418}" name="Result_3_type" dataDxfId="10">
      <calculatedColumnFormula array="1">INDEX(Table8[type], MATCH(Table7[[#This Row],[Recipe]], Table8[Recipe], 0) + 2)</calculatedColumnFormula>
    </tableColumn>
    <tableColumn id="32" xr3:uid="{9317562F-B7E9-490E-BFBC-0F03122AB5F9}" name="Result_3_name" dataDxfId="9">
      <calculatedColumnFormula array="1">INDEX(Table8[name], MATCH(Table7[[#This Row],[Recipe]], Table8[Recipe], 0) + 2)</calculatedColumnFormula>
    </tableColumn>
    <tableColumn id="25" xr3:uid="{04B02B68-0016-44BE-8B0D-6E6053EB4293}" name="Result_3_amt_min" dataDxfId="8">
      <calculatedColumnFormula array="1">INDEX(Table8[amount_min], MATCH(Table7[[#This Row],[Recipe]], Table8[Recipe], 0) + 2)</calculatedColumnFormula>
    </tableColumn>
    <tableColumn id="24" xr3:uid="{4A76DB66-F126-4A19-B7B9-052150F5EC16}" name="Result_3_amt_max" dataDxfId="7">
      <calculatedColumnFormula array="1">INDEX(Table8[amount_max], MATCH(Table7[[#This Row],[Recipe]], Table8[Recipe], 0) + 2)</calculatedColumnFormula>
    </tableColumn>
    <tableColumn id="18" xr3:uid="{1834E88C-3996-4B83-A2D6-E4CBF6799983}" name="Result_3_P" dataDxfId="6">
      <calculatedColumnFormula array="1">INDEX(Table8[P], MATCH(Table7[[#This Row],[Recipe]], Table8[Recipe], 0) + 2)</calculatedColumnFormula>
    </tableColumn>
    <tableColumn id="36" xr3:uid="{5C2D1484-E711-4E82-92DB-57B04BD66315}" name="Result_4_type" dataDxfId="5">
      <calculatedColumnFormula array="1">INDEX(Table8[type], MATCH(Table7[[#This Row],[Recipe]], Table8[Recipe], 0) + 3)</calculatedColumnFormula>
    </tableColumn>
    <tableColumn id="33" xr3:uid="{5A6880AC-0CDF-4FF5-95A6-EF019821685D}" name="Result_4_name" dataDxfId="4">
      <calculatedColumnFormula array="1">INDEX(Table8[name], MATCH(Table7[[#This Row],[Recipe]], Table8[Recipe], 0) + 3)</calculatedColumnFormula>
    </tableColumn>
    <tableColumn id="20" xr3:uid="{F27B8545-BFA0-4FA2-BC1B-A026F34E43F0}" name="Result_4_amt_min" dataDxfId="3">
      <calculatedColumnFormula array="1">INDEX(Table8[amount_min], MATCH(Table7[[#This Row],[Recipe]], Table8[Recipe], 0) + 3)</calculatedColumnFormula>
    </tableColumn>
    <tableColumn id="19" xr3:uid="{A869DC81-85C7-4615-8A5E-CD93FEADF931}" name="Result_4_amt_max" dataDxfId="2">
      <calculatedColumnFormula array="1">INDEX(Table8[amount_max], MATCH(Table7[[#This Row],[Recipe]], Table8[Recipe], 0) + 3)</calculatedColumnFormula>
    </tableColumn>
    <tableColumn id="21" xr3:uid="{C5FEE21E-C6E2-49F8-AD36-B9EED8A7B149}" name="Result_4_P" dataDxfId="1">
      <calculatedColumnFormula array="1">INDEX(Table8[P], MATCH(Table7[[#This Row],[Recipe]], Table8[Recipe], 0) + 3)</calculatedColumnFormula>
    </tableColumn>
    <tableColumn id="8" xr3:uid="{33C291CA-AEA3-41A6-8665-03327AB3E806}" name="Results 1" dataDxfId="44">
      <calculatedColumnFormula array="1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calculatedColumnFormula>
    </tableColumn>
    <tableColumn id="9" xr3:uid="{7BF645B9-19D0-4473-ACE6-12B66A8165AE}" name="Results 2" dataDxfId="43">
      <calculatedColumnFormula array="1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calculatedColumnFormula>
    </tableColumn>
    <tableColumn id="10" xr3:uid="{73804FC8-69EB-4E05-8650-4BB574DE531D}" name="Results 3" dataDxfId="42">
      <calculatedColumnFormula array="1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calculatedColumnFormula>
    </tableColumn>
    <tableColumn id="11" xr3:uid="{6B40EA3E-9F3D-4135-BC18-3EC5AE95AEF0}" name="Results 4" dataDxfId="41">
      <calculatedColumnFormula array="1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calculatedColumnFormula>
    </tableColumn>
    <tableColumn id="13" xr3:uid="{983E9E0D-A8BE-4A49-88C0-0F9647C154FB}" name="Ingredient String" dataDxfId="40">
      <calculatedColumnFormula array="1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calculatedColumnFormula>
    </tableColumn>
    <tableColumn id="37" xr3:uid="{D9725653-650B-4E33-86E4-FA48D30F5455}" name="Results String" dataDxfId="39">
      <calculatedColumnFormula array="1" xml:space="preserve"> "{ 
    " &amp; _xlfn.TEXTJOIN(", 
    ", TRUE, _xlfn._xlws.FILTER(Table7[[#This Row],[Results 1]:[Results 4]], IFERROR(--Table7[[#This Row],[Results 1]:[Results 4]], TRUE))) &amp; " 
}"</calculatedColumnFormula>
    </tableColumn>
    <tableColumn id="40" xr3:uid="{6A447D5A-EAF2-404F-A826-F6177D7B50D6}" name="Whole String" dataDxfId="38">
      <calculatedColumnFormula array="1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A71830A-828F-4695-B2FD-24C049275861}" name="Table8" displayName="Table8" ref="B3:K59" totalsRowShown="0" headerRowDxfId="37" dataDxfId="36">
  <autoFilter ref="B3:K59" xr:uid="{EA71830A-828F-4695-B2FD-24C049275861}"/>
  <sortState xmlns:xlrd2="http://schemas.microsoft.com/office/spreadsheetml/2017/richdata2" ref="B4:K59">
    <sortCondition descending="1" ref="B3:B59"/>
  </sortState>
  <tableColumns count="10">
    <tableColumn id="1" xr3:uid="{125DA46D-9742-4063-80AF-7B3BD16A90B4}" name="Recipe" dataDxfId="35"/>
    <tableColumn id="2" xr3:uid="{FB3F6848-8BA0-4CF9-94C5-347F36A39CF0}" name="type" dataDxfId="34"/>
    <tableColumn id="3" xr3:uid="{2F1240D4-2D99-4EA6-9B56-7EE74D6AFB8B}" name="name" dataDxfId="33"/>
    <tableColumn id="4" xr3:uid="{3BB9F2BA-0C22-4457-A366-03C34CF2C7C7}" name="amount_min" dataDxfId="32"/>
    <tableColumn id="5" xr3:uid="{3D12B4DB-2238-43D9-B668-BBD3ED397240}" name="amount_max" dataDxfId="31"/>
    <tableColumn id="6" xr3:uid="{218ABFBF-C1D6-4C94-A67C-3C2D682E3A95}" name="P" dataDxfId="30"/>
    <tableColumn id="8" xr3:uid="{5E531594-85F5-4CD1-B27E-BC7800E08050}" name="Duration" dataDxfId="29">
      <calculatedColumnFormula>INDEX(Table7[energy_required], MATCH(Table8[[#This Row],[Recipe]], Table7[Recipe], 0))</calculatedColumnFormula>
    </tableColumn>
    <tableColumn id="7" xr3:uid="{3EF6D105-597F-4C54-B302-4F46B4BD461A}" name="EV" dataDxfId="28">
      <calculatedColumnFormula>AVERAGE(Table8[[#This Row],[amount_min]], Table8[[#This Row],[amount_max]]) * Table8[[#This Row],[P]]</calculatedColumnFormula>
    </tableColumn>
    <tableColumn id="9" xr3:uid="{0DE8515B-F44B-493D-B0E5-618AD508AA55}" name="EV/s" dataDxfId="27">
      <calculatedColumnFormula>Table8[[#This Row],[EV]] / Table8[[#This Row],[Duration]]</calculatedColumnFormula>
    </tableColumn>
    <tableColumn id="10" xr3:uid="{2B62D157-F7A9-40B5-828B-0C9C0816CD17}" name="s/EV" dataDxfId="26">
      <calculatedColumnFormula>IFERROR(1/Table8[[#This Row],[EV/s]], 0)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C02366-D4DD-41A4-8050-773DDA42B27E}" name="Table1" displayName="Table1" ref="H5:K15" totalsRowShown="0">
  <autoFilter ref="H5:K15" xr:uid="{8FC02366-D4DD-41A4-8050-773DDA42B27E}"/>
  <tableColumns count="4">
    <tableColumn id="1" xr3:uid="{959EF51D-F84A-47B3-BB90-19C907903580}" name="name"/>
    <tableColumn id="2" xr3:uid="{C3C91221-23BC-4002-9309-7C9CD86A66DB}" name="type" dataDxfId="25">
      <calculatedColumnFormula>"""item"""</calculatedColumnFormula>
    </tableColumn>
    <tableColumn id="3" xr3:uid="{214E8F8E-48B4-4BB8-B3A1-54F2A217D484}" name="amount"/>
    <tableColumn id="7" xr3:uid="{24D768D4-2DBF-4BCF-BF27-3E53FCF0468E}" name="line items" dataDxfId="24">
      <calculatedColumnFormula array="1">"    { " &amp; _xlfn.TEXTJOIN(", ", TRUE, Table1[[#Headers],[name]:[amount]] &amp; " = " &amp; Table1[[#This Row],[name]:[amount]]) &amp; " }"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466F-79F7-46EC-9385-969031045057}">
  <sheetPr codeName="Sheet1"/>
  <dimension ref="B3:AI52"/>
  <sheetViews>
    <sheetView workbookViewId="0">
      <selection activeCell="H32" sqref="H32"/>
    </sheetView>
    <sheetView workbookViewId="1"/>
  </sheetViews>
  <sheetFormatPr defaultRowHeight="14.25"/>
  <cols>
    <col min="2" max="2" width="21.375" bestFit="1" customWidth="1"/>
    <col min="3" max="3" width="21.375" style="2" customWidth="1"/>
    <col min="4" max="10" width="10.375" style="2" customWidth="1"/>
    <col min="11" max="11" width="25" style="2" customWidth="1"/>
    <col min="12" max="12" width="35.125" style="2" customWidth="1"/>
    <col min="13" max="13" width="40.125" style="2" customWidth="1"/>
    <col min="14" max="14" width="50.375" style="2" customWidth="1"/>
    <col min="15" max="17" width="43.875" style="2" customWidth="1"/>
    <col min="18" max="28" width="10.375" style="2" customWidth="1"/>
    <col min="32" max="32" width="14" customWidth="1"/>
  </cols>
  <sheetData>
    <row r="3" spans="2:28" s="3" customFormat="1" ht="71.25" customHeight="1">
      <c r="B3" s="3" t="s">
        <v>23</v>
      </c>
      <c r="C3" s="1" t="s">
        <v>57</v>
      </c>
      <c r="D3" s="1" t="s">
        <v>67</v>
      </c>
      <c r="E3" s="1" t="s">
        <v>68</v>
      </c>
      <c r="F3" s="1" t="s">
        <v>69</v>
      </c>
      <c r="G3" s="1" t="s">
        <v>70</v>
      </c>
      <c r="H3" s="1" t="s">
        <v>71</v>
      </c>
      <c r="I3" s="1" t="s">
        <v>72</v>
      </c>
      <c r="J3" s="1" t="s">
        <v>14</v>
      </c>
      <c r="K3" s="1" t="s">
        <v>82</v>
      </c>
      <c r="L3" s="1" t="s">
        <v>73</v>
      </c>
      <c r="M3" s="1" t="s">
        <v>66</v>
      </c>
      <c r="N3" s="1" t="s">
        <v>65</v>
      </c>
      <c r="O3" s="1" t="s">
        <v>74</v>
      </c>
      <c r="P3" s="1" t="s">
        <v>75</v>
      </c>
      <c r="Q3" s="1" t="s">
        <v>76</v>
      </c>
      <c r="R3" s="1" t="s">
        <v>77</v>
      </c>
      <c r="S3" s="1" t="s">
        <v>78</v>
      </c>
      <c r="T3" s="1" t="s">
        <v>79</v>
      </c>
      <c r="U3" s="1" t="s">
        <v>80</v>
      </c>
      <c r="V3" s="1" t="s">
        <v>81</v>
      </c>
      <c r="W3" s="1" t="s">
        <v>7</v>
      </c>
      <c r="X3" s="1" t="s">
        <v>8</v>
      </c>
      <c r="Y3" s="1" t="s">
        <v>9</v>
      </c>
      <c r="Z3" s="1" t="s">
        <v>10</v>
      </c>
      <c r="AA3" s="1" t="s">
        <v>12</v>
      </c>
      <c r="AB3" s="1" t="s">
        <v>19</v>
      </c>
    </row>
    <row r="4" spans="2:28">
      <c r="B4" t="s">
        <v>0</v>
      </c>
      <c r="C4" s="2" t="e">
        <f>INDEX(Table7[energy_required], MATCH(Table4[[#This Row],[Recipe]], Table7[Recipe], 0))</f>
        <v>#N/A</v>
      </c>
      <c r="D4" s="8" t="s">
        <v>13</v>
      </c>
      <c r="E4" s="8"/>
      <c r="F4" s="8"/>
      <c r="G4" s="8"/>
      <c r="H4" s="8"/>
      <c r="I4" s="8"/>
      <c r="J4" s="8" t="str" cm="1">
        <f t="array" ref="J4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4" s="8" t="str" cm="1">
        <f t="array" ref="K4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4" s="8"/>
      <c r="M4" s="8"/>
      <c r="N4" s="8" t="str" cm="1">
        <f t="array" ref="N4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</row>
    <row r="5" spans="2:28">
      <c r="B5" t="s">
        <v>1</v>
      </c>
      <c r="C5" s="2" t="e">
        <f>INDEX(Table7[energy_required], MATCH(Table4[[#This Row],[Recipe]], Table7[Recipe], 0))</f>
        <v>#N/A</v>
      </c>
      <c r="D5" s="8"/>
      <c r="E5" s="8"/>
      <c r="F5" s="8" t="s">
        <v>13</v>
      </c>
      <c r="G5" s="8"/>
      <c r="H5" s="8"/>
      <c r="I5" s="8"/>
      <c r="J5" s="8" t="str" cm="1">
        <f t="array" ref="J5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5" s="8" t="str" cm="1">
        <f t="array" ref="K5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5" s="8"/>
      <c r="M5" s="8"/>
      <c r="N5" s="8" t="str" cm="1">
        <f t="array" ref="N5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</row>
    <row r="6" spans="2:28">
      <c r="B6" t="s">
        <v>2</v>
      </c>
      <c r="C6" s="2" t="e">
        <f>INDEX(Table7[energy_required], MATCH(Table4[[#This Row],[Recipe]], Table7[Recipe], 0))</f>
        <v>#N/A</v>
      </c>
      <c r="D6" s="8"/>
      <c r="E6" s="8"/>
      <c r="F6" s="8"/>
      <c r="G6" s="8"/>
      <c r="H6" s="8" t="s">
        <v>13</v>
      </c>
      <c r="I6" s="8"/>
      <c r="J6" s="8" t="str" cm="1">
        <f t="array" ref="J6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6" s="8" t="str" cm="1">
        <f t="array" ref="K6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6" s="8"/>
      <c r="M6" s="8"/>
      <c r="N6" s="8" t="str" cm="1">
        <f t="array" ref="N6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 spans="2:28" ht="27.75" customHeight="1">
      <c r="B7" t="s">
        <v>49</v>
      </c>
      <c r="C7" s="2">
        <f>INDEX(Table7[energy_required], MATCH(Table4[[#This Row],[Recipe]], Table7[Recipe], 0))</f>
        <v>2</v>
      </c>
      <c r="D7" s="8" t="str" cm="1">
        <f t="array" ref="D7">_xlfn.LET(_xlpm.recipeResults, _xlfn._xlws.FILTER(Table7[[Results 1]:[Results 4]], Table7[Recipe] = Table4[[#This Row],[Recipe]]),
     IFERROR(
     _xlfn._xlws.FILTER(_xlpm.recipeResults, ISNUMBER(SEARCH(D$3, _xlpm.recipeResults))), " - ") )</f>
        <v xml:space="preserve"> - </v>
      </c>
      <c r="E7" s="8" t="str" cm="1">
        <f t="array" ref="E7">_xlfn.LET(_xlpm.recipeResults, _xlfn._xlws.FILTER(Table7[[Results 1]:[Results 4]], Table7[Recipe] = Table4[[#This Row],[Recipe]]),
     IFERROR(
     _xlfn._xlws.FILTER(_xlpm.recipeResults, ISNUMBER(SEARCH(E$3, _xlpm.recipeResults))), " - ") )</f>
        <v xml:space="preserve"> - </v>
      </c>
      <c r="F7" s="8" t="str" cm="1">
        <f t="array" ref="F7">_xlfn.LET(_xlpm.recipeResults, _xlfn._xlws.FILTER(Table7[[Results 1]:[Results 4]], Table7[Recipe] = Table4[[#This Row],[Recipe]]),
     IFERROR(
     _xlfn._xlws.FILTER(_xlpm.recipeResults, ISNUMBER(SEARCH(F$3, _xlpm.recipeResults))), " - ") )</f>
        <v>{ type = "item", name = "carbon", amount_min = 10, amount_max = 10, probability = 1 }</v>
      </c>
      <c r="G7" s="8" t="str" cm="1">
        <f t="array" ref="G7">_xlfn.LET(_xlpm.recipeResults, _xlfn._xlws.FILTER(Table7[[Results 1]:[Results 4]], Table7[Recipe] = Table4[[#This Row],[Recipe]]),
     IFERROR(
     _xlfn._xlws.FILTER(_xlpm.recipeResults, ISNUMBER(SEARCH(G$3, _xlpm.recipeResults))), " - ") )</f>
        <v xml:space="preserve"> - </v>
      </c>
      <c r="H7" s="8" t="str" cm="1">
        <f t="array" ref="H7">_xlfn.LET(_xlpm.recipeResults, _xlfn._xlws.FILTER(Table7[[Results 1]:[Results 4]], Table7[Recipe] = Table4[[#This Row],[Recipe]]),
     IFERROR(
     _xlfn._xlws.FILTER(_xlpm.recipeResults, ISNUMBER(SEARCH(H$3, _xlpm.recipeResults))), " - ") )</f>
        <v xml:space="preserve"> - </v>
      </c>
      <c r="I7" s="8" t="str" cm="1">
        <f t="array" ref="I7">_xlfn.LET(_xlpm.recipeResults, _xlfn._xlws.FILTER(Table7[[Results 1]:[Results 4]], Table7[Recipe] = Table4[[#This Row],[Recipe]]),
     IFERROR(
     _xlfn._xlws.FILTER(_xlpm.recipeResults, ISNUMBER(SEARCH(I$3, _xlpm.recipeResults))), " - ") )</f>
        <v xml:space="preserve"> - </v>
      </c>
      <c r="J7" s="8" t="str" cm="1">
        <f t="array" ref="J7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7" s="8" t="str" cm="1">
        <f t="array" ref="K7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7" s="9" t="str" cm="1">
        <f t="array" ref="L7">_xlfn.LET(_xlpm.recipeResults, _xlfn._xlws.FILTER(Table7[[Results 1]:[Results 4]], Table7[Recipe] = Table4[[#This Row],[Recipe]]),
     IFERROR(
     _xlfn._xlws.FILTER(_xlpm.recipeResults, ISNUMBER(SEARCH(L$3, _xlpm.recipeResults))), " - ") )</f>
        <v xml:space="preserve"> - </v>
      </c>
      <c r="M7" s="8" t="e" cm="1" vm="1">
        <f t="array" aca="1" ref="M7" ca="1">_xlfn.LET(_xlpm.recipeResults, _xlfn._xlws.FILTER(Table7[[Results 1]:[Results 4]], Table7[Recipe] = Table4[[#This Row],[Recipe]]),
     IFERROR(
     _xlfn._xlws.FILTER(_xlpm.recipeResults, ISNUMBER(SEARCH(M$3, _xlpm.recipeResults))), " - ") )</f>
        <v>#VALUE!</v>
      </c>
      <c r="N7" s="8" t="str" cm="1">
        <f t="array" ref="N7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7" s="8" t="str" cm="1">
        <f t="array" ref="O7">_xlfn.LET(_xlpm.recipeResults, _xlfn._xlws.FILTER(Table7[[Results 1]:[Results 4]], Table7[Recipe] = Table4[[#This Row],[Recipe]]),
     IFERROR(
     _xlfn._xlws.FILTER(_xlpm.recipeResults, ISNUMBER(SEARCH(O$3, _xlpm.recipeResults))), " - ") )</f>
        <v xml:space="preserve"> - </v>
      </c>
      <c r="P7" s="8" t="str" cm="1">
        <f t="array" ref="P7">_xlfn.LET(_xlpm.recipeResults, _xlfn._xlws.FILTER(Table7[[Results 1]:[Results 4]], Table7[Recipe] = Table4[[#This Row],[Recipe]]),
     IFERROR(
     _xlfn._xlws.FILTER(_xlpm.recipeResults, ISNUMBER(SEARCH(P$3, _xlpm.recipeResults))), " - ") )</f>
        <v xml:space="preserve"> - </v>
      </c>
      <c r="Q7" s="8" t="str" cm="1">
        <f t="array" ref="Q7">_xlfn.LET(_xlpm.recipeResults, _xlfn._xlws.FILTER(Table7[[Results 1]:[Results 4]], Table7[Recipe] = Table4[[#This Row],[Recipe]]),
     IFERROR(
     _xlfn._xlws.FILTER(_xlpm.recipeResults, ISNUMBER(SEARCH(Q$3, _xlpm.recipeResults))), " - ") )</f>
        <v xml:space="preserve"> - </v>
      </c>
      <c r="R7" s="8" t="str" cm="1">
        <f t="array" ref="R7">_xlfn.LET(_xlpm.recipeResults, _xlfn._xlws.FILTER(Table7[[Results 1]:[Results 4]], Table7[Recipe] = Table4[[#This Row],[Recipe]]),
     IFERROR(
     _xlfn._xlws.FILTER(_xlpm.recipeResults, ISNUMBER(SEARCH(R$3, _xlpm.recipeResults))), " - ") )</f>
        <v xml:space="preserve"> - </v>
      </c>
      <c r="S7" s="8" t="str" cm="1">
        <f t="array" ref="S7">_xlfn.LET(_xlpm.recipeResults, _xlfn._xlws.FILTER(Table7[[Results 1]:[Results 4]], Table7[Recipe] = Table4[[#This Row],[Recipe]]),
     IFERROR(
     _xlfn._xlws.FILTER(_xlpm.recipeResults, ISNUMBER(SEARCH(S$3, _xlpm.recipeResults))), " - ") )</f>
        <v xml:space="preserve"> - </v>
      </c>
      <c r="T7" s="8" t="str" cm="1">
        <f t="array" ref="T7">_xlfn.LET(_xlpm.recipeResults, _xlfn._xlws.FILTER(Table7[[Results 1]:[Results 4]], Table7[Recipe] = Table4[[#This Row],[Recipe]]),
     IFERROR(
     _xlfn._xlws.FILTER(_xlpm.recipeResults, ISNUMBER(SEARCH(T$3, _xlpm.recipeResults))), " - ") )</f>
        <v xml:space="preserve"> - </v>
      </c>
      <c r="U7" s="8" t="str" cm="1">
        <f t="array" ref="U7">_xlfn.LET(_xlpm.recipeResults, _xlfn._xlws.FILTER(Table7[[Results 1]:[Results 4]], Table7[Recipe] = Table4[[#This Row],[Recipe]]),
     IFERROR(
     _xlfn._xlws.FILTER(_xlpm.recipeResults, ISNUMBER(SEARCH(U$3, _xlpm.recipeResults))), " - ") )</f>
        <v xml:space="preserve"> - </v>
      </c>
      <c r="V7" s="8" t="str" cm="1">
        <f t="array" ref="V7">_xlfn.LET(_xlpm.recipeResults, _xlfn._xlws.FILTER(Table7[[Results 1]:[Results 4]], Table7[Recipe] = Table4[[#This Row],[Recipe]]),
     IFERROR(
     _xlfn._xlws.FILTER(_xlpm.recipeResults, ISNUMBER(SEARCH(V$3, _xlpm.recipeResults))), " - ") )</f>
        <v xml:space="preserve"> - </v>
      </c>
      <c r="W7" s="8" t="str" cm="1">
        <f t="array" ref="W7">_xlfn.LET(_xlpm.recipeResults, _xlfn._xlws.FILTER(Table7[[Results 1]:[Results 4]], Table7[Recipe] = Table4[[#This Row],[Recipe]]),
     IFERROR(
     _xlfn._xlws.FILTER(_xlpm.recipeResults, ISNUMBER(SEARCH(W$3, _xlpm.recipeResults))), " - ") )</f>
        <v xml:space="preserve"> - </v>
      </c>
      <c r="X7" s="8" t="str" cm="1">
        <f t="array" ref="X7">_xlfn.LET(_xlpm.recipeResults, _xlfn._xlws.FILTER(Table7[[Results 1]:[Results 4]], Table7[Recipe] = Table4[[#This Row],[Recipe]]),
     IFERROR(
     _xlfn._xlws.FILTER(_xlpm.recipeResults, ISNUMBER(SEARCH(X$3, _xlpm.recipeResults))), " - ") )</f>
        <v xml:space="preserve"> - </v>
      </c>
      <c r="Y7" s="8" t="str" cm="1">
        <f t="array" ref="Y7">_xlfn.LET(_xlpm.recipeResults, _xlfn._xlws.FILTER(Table7[[Results 1]:[Results 4]], Table7[Recipe] = Table4[[#This Row],[Recipe]]),
     IFERROR(
     _xlfn._xlws.FILTER(_xlpm.recipeResults, ISNUMBER(SEARCH(Y$3, _xlpm.recipeResults))), " - ") )</f>
        <v xml:space="preserve"> - </v>
      </c>
      <c r="Z7" s="8" t="str" cm="1">
        <f t="array" ref="Z7">_xlfn.LET(_xlpm.recipeResults, _xlfn._xlws.FILTER(Table7[[Results 1]:[Results 4]], Table7[Recipe] = Table4[[#This Row],[Recipe]]),
     IFERROR(
     _xlfn._xlws.FILTER(_xlpm.recipeResults, ISNUMBER(SEARCH(Z$3, _xlpm.recipeResults))), " - ") )</f>
        <v xml:space="preserve"> - </v>
      </c>
      <c r="AA7" s="8" t="str" cm="1">
        <f t="array" ref="AA7">_xlfn.LET(_xlpm.recipeResults, _xlfn._xlws.FILTER(Table7[[Results 1]:[Results 4]], Table7[Recipe] = Table4[[#This Row],[Recipe]]),
     IFERROR(
     _xlfn._xlws.FILTER(_xlpm.recipeResults, ISNUMBER(SEARCH(AA$3, _xlpm.recipeResults))), " - ") )</f>
        <v xml:space="preserve"> - </v>
      </c>
      <c r="AB7" s="8" t="str" cm="1">
        <f t="array" ref="AB7">_xlfn.LET(_xlpm.recipeResults, _xlfn._xlws.FILTER(Table7[[Results 1]:[Results 4]], Table7[Recipe] = Table4[[#This Row],[Recipe]]),
     IFERROR(
     _xlfn._xlws.FILTER(_xlpm.recipeResults, ISNUMBER(SEARCH(AB$3, _xlpm.recipeResults))), " - ") )</f>
        <v xml:space="preserve"> - </v>
      </c>
    </row>
    <row r="8" spans="2:28">
      <c r="B8" t="s">
        <v>40</v>
      </c>
      <c r="C8" s="2">
        <f>INDEX(Table7[energy_required], MATCH(Table4[[#This Row],[Recipe]], Table7[Recipe], 0))</f>
        <v>2</v>
      </c>
      <c r="D8" s="8"/>
      <c r="E8" s="8"/>
      <c r="F8" s="8"/>
      <c r="G8" s="8"/>
      <c r="H8" s="8"/>
      <c r="I8" s="8"/>
      <c r="J8" s="8" t="str" cm="1">
        <f t="array" ref="J8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8" s="8" t="str" cm="1">
        <f t="array" ref="K8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8" s="8"/>
      <c r="M8" s="8" t="s">
        <v>13</v>
      </c>
      <c r="N8" s="8" t="str" cm="1">
        <f t="array" ref="N8">_xlfn.LET(_xlpm.recipeResults, _xlfn._xlws.FILTER(Table7[[Results 1]:[Results 4]], Table7[Recipe] = Table4[[#This Row],[Recipe]]),
     IFERROR(
     _xlfn._xlws.FILTER(_xlpm.recipeResults, ISNUMBER(SEARCH(N$3, _xlpm.recipeResults))), " - ") )</f>
        <v>{ type = "item", name = "uranium-ore", amount_min = 10, amount_max = 12, probability = 1 }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spans="2:28">
      <c r="B9" t="s">
        <v>3</v>
      </c>
      <c r="C9" s="2" t="e">
        <f>INDEX(Table7[energy_required], MATCH(Table4[[#This Row],[Recipe]], Table7[Recipe], 0))</f>
        <v>#N/A</v>
      </c>
      <c r="D9" s="8"/>
      <c r="E9" s="8"/>
      <c r="F9" s="8"/>
      <c r="G9" s="8"/>
      <c r="H9" s="8"/>
      <c r="I9" s="8"/>
      <c r="J9" s="8" t="str" cm="1">
        <f t="array" ref="J9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9" s="8" t="str" cm="1">
        <f t="array" ref="K9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9" s="8"/>
      <c r="M9" s="8" t="s">
        <v>13</v>
      </c>
      <c r="N9" s="8" t="str" cm="1">
        <f t="array" ref="N9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9" s="8"/>
      <c r="P9" s="8"/>
      <c r="Q9" s="8" t="s">
        <v>13</v>
      </c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spans="2:28">
      <c r="B10" t="s">
        <v>4</v>
      </c>
      <c r="C10" s="2" t="e">
        <f>INDEX(Table7[energy_required], MATCH(Table4[[#This Row],[Recipe]], Table7[Recipe], 0))</f>
        <v>#N/A</v>
      </c>
      <c r="D10" s="8"/>
      <c r="E10" s="8"/>
      <c r="F10" s="8"/>
      <c r="G10" s="8"/>
      <c r="H10" s="8"/>
      <c r="I10" s="8"/>
      <c r="J10" s="8" t="str" cm="1">
        <f t="array" ref="J10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0" s="8" t="str" cm="1">
        <f t="array" ref="K10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0" s="8"/>
      <c r="M10" s="8"/>
      <c r="N10" s="8" t="str" cm="1">
        <f t="array" ref="N10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0" s="8"/>
      <c r="P10" s="8"/>
      <c r="Q10" s="8"/>
      <c r="R10" s="8"/>
      <c r="S10" s="8" t="s">
        <v>13</v>
      </c>
      <c r="T10" s="8"/>
      <c r="U10" s="8"/>
      <c r="V10" s="8"/>
      <c r="W10" s="8"/>
      <c r="X10" s="8"/>
      <c r="Y10" s="8"/>
      <c r="Z10" s="8"/>
      <c r="AA10" s="8"/>
      <c r="AB10" s="8"/>
    </row>
    <row r="11" spans="2:28">
      <c r="B11" t="s">
        <v>5</v>
      </c>
      <c r="C11" s="2" t="e">
        <f>INDEX(Table7[energy_required], MATCH(Table4[[#This Row],[Recipe]], Table7[Recipe], 0))</f>
        <v>#N/A</v>
      </c>
      <c r="D11" s="8"/>
      <c r="E11" s="8"/>
      <c r="F11" s="8"/>
      <c r="G11" s="8"/>
      <c r="H11" s="8"/>
      <c r="I11" s="8"/>
      <c r="J11" s="8" t="str" cm="1">
        <f t="array" ref="J11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1" s="8" t="str" cm="1">
        <f t="array" ref="K11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1" s="8"/>
      <c r="M11" s="8" t="s">
        <v>13</v>
      </c>
      <c r="N11" s="8" t="str" cm="1">
        <f t="array" ref="N11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1" s="8"/>
      <c r="P11" s="8"/>
      <c r="Q11" s="8"/>
      <c r="R11" s="8"/>
      <c r="S11" s="8"/>
      <c r="T11" s="8" t="s">
        <v>13</v>
      </c>
      <c r="U11" s="8" t="s">
        <v>13</v>
      </c>
      <c r="V11" s="8" t="s">
        <v>13</v>
      </c>
      <c r="W11" s="8" t="s">
        <v>18</v>
      </c>
      <c r="X11" s="8"/>
      <c r="Y11" s="8"/>
      <c r="Z11" s="8"/>
      <c r="AA11" s="8"/>
      <c r="AB11" s="8"/>
    </row>
    <row r="12" spans="2:28">
      <c r="B12" t="s">
        <v>6</v>
      </c>
      <c r="C12" s="2" t="e">
        <f>INDEX(Table7[energy_required], MATCH(Table4[[#This Row],[Recipe]], Table7[Recipe], 0))</f>
        <v>#N/A</v>
      </c>
      <c r="D12" s="8"/>
      <c r="E12" s="8"/>
      <c r="F12" s="8"/>
      <c r="G12" s="8"/>
      <c r="H12" s="8"/>
      <c r="I12" s="8"/>
      <c r="J12" s="8" t="str" cm="1">
        <f t="array" ref="J12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2" s="8" t="str" cm="1">
        <f t="array" ref="K12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2" s="8"/>
      <c r="M12" s="8"/>
      <c r="N12" s="8" t="str" cm="1">
        <f t="array" ref="N12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2" s="8"/>
      <c r="P12" s="8"/>
      <c r="Q12" s="8"/>
      <c r="R12" s="8"/>
      <c r="S12" s="8"/>
      <c r="T12" s="8"/>
      <c r="U12" s="8"/>
      <c r="V12" s="8"/>
      <c r="W12" s="8"/>
      <c r="X12" s="8" t="s">
        <v>13</v>
      </c>
      <c r="Y12" s="8" t="s">
        <v>13</v>
      </c>
      <c r="Z12" s="8" t="s">
        <v>13</v>
      </c>
      <c r="AA12" s="8"/>
      <c r="AB12" s="8"/>
    </row>
    <row r="13" spans="2:28">
      <c r="B13" t="s">
        <v>11</v>
      </c>
      <c r="C13" s="2" t="e">
        <f>INDEX(Table7[energy_required], MATCH(Table4[[#This Row],[Recipe]], Table7[Recipe], 0))</f>
        <v>#N/A</v>
      </c>
      <c r="D13" s="8"/>
      <c r="E13" s="8"/>
      <c r="F13" s="8"/>
      <c r="G13" s="8"/>
      <c r="H13" s="8"/>
      <c r="I13" s="8"/>
      <c r="J13" s="8" t="str" cm="1">
        <f t="array" ref="J13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3" s="8" t="str" cm="1">
        <f t="array" ref="K13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3" s="8"/>
      <c r="M13" s="8"/>
      <c r="N13" s="8" t="str" cm="1">
        <f t="array" ref="N13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 t="s">
        <v>13</v>
      </c>
      <c r="AB13" s="8"/>
    </row>
    <row r="14" spans="2:28">
      <c r="B14" t="s">
        <v>16</v>
      </c>
      <c r="C14" s="2" t="e">
        <f>INDEX(Table7[energy_required], MATCH(Table4[[#This Row],[Recipe]], Table7[Recipe], 0))</f>
        <v>#N/A</v>
      </c>
      <c r="D14" s="8" t="s">
        <v>13</v>
      </c>
      <c r="E14" s="8" t="s">
        <v>13</v>
      </c>
      <c r="F14" s="8"/>
      <c r="G14" s="8"/>
      <c r="H14" s="8"/>
      <c r="I14" s="8"/>
      <c r="J14" s="8" t="str" cm="1">
        <f t="array" ref="J14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4" s="8" t="str" cm="1">
        <f t="array" ref="K14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4" s="8"/>
      <c r="M14" s="8"/>
      <c r="N14" s="8" t="str" cm="1">
        <f t="array" ref="N14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2:28">
      <c r="B15" t="s">
        <v>15</v>
      </c>
      <c r="C15" s="2" t="e">
        <f>INDEX(Table7[energy_required], MATCH(Table4[[#This Row],[Recipe]], Table7[Recipe], 0))</f>
        <v>#N/A</v>
      </c>
      <c r="D15" s="8"/>
      <c r="E15" s="8"/>
      <c r="F15" s="8" t="s">
        <v>13</v>
      </c>
      <c r="G15" s="8" t="s">
        <v>13</v>
      </c>
      <c r="H15" s="8"/>
      <c r="I15" s="8"/>
      <c r="J15" s="8" t="str" cm="1">
        <f t="array" ref="J15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5" s="8" t="str" cm="1">
        <f t="array" ref="K15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5" s="8"/>
      <c r="M15" s="8"/>
      <c r="N15" s="8" t="str" cm="1">
        <f t="array" ref="N15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spans="2:28">
      <c r="B16" t="s">
        <v>17</v>
      </c>
      <c r="C16" s="2" t="e">
        <f>INDEX(Table7[energy_required], MATCH(Table4[[#This Row],[Recipe]], Table7[Recipe], 0))</f>
        <v>#N/A</v>
      </c>
      <c r="D16" s="8"/>
      <c r="E16" s="8"/>
      <c r="F16" s="8"/>
      <c r="G16" s="8"/>
      <c r="H16" s="8" t="s">
        <v>13</v>
      </c>
      <c r="I16" s="8" t="s">
        <v>13</v>
      </c>
      <c r="J16" s="8" t="str" cm="1">
        <f t="array" ref="J16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6" s="8" t="str" cm="1">
        <f t="array" ref="K16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6" s="8"/>
      <c r="M16" s="8"/>
      <c r="N16" s="8" t="str" cm="1">
        <f t="array" ref="N16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2:35">
      <c r="B17" t="s">
        <v>46</v>
      </c>
      <c r="C17" s="2">
        <f>INDEX(Table7[energy_required], MATCH(Table4[[#This Row],[Recipe]], Table7[Recipe], 0))</f>
        <v>5</v>
      </c>
      <c r="D17" s="8" t="str" cm="1">
        <f t="array" ref="D17">_xlfn.LET(_xlpm.recipeResults, _xlfn._xlws.FILTER(Table7[[Results 1]:[Results 4]], Table7[Recipe] = Table4[[#This Row],[Recipe]]),
     _xlfn._xlws.FILTER(_xlpm.recipeResults, ISNUMBER(SEARCH(D$3, _xlpm.recipeResults)), " - ") )</f>
        <v xml:space="preserve"> - </v>
      </c>
      <c r="E17" s="8" t="str" cm="1">
        <f t="array" ref="E17">_xlfn.LET(_xlpm.recipeResults, _xlfn._xlws.FILTER(Table7[[Results 1]:[Results 4]], Table7[Recipe] = Table4[[#This Row],[Recipe]]),
     _xlfn._xlws.FILTER(_xlpm.recipeResults, ISNUMBER(SEARCH(E$3, _xlpm.recipeResults)), " - ") )</f>
        <v xml:space="preserve"> - </v>
      </c>
      <c r="F17" s="8" t="str" cm="1">
        <f t="array" ref="F17">_xlfn.LET(_xlpm.recipeResults, _xlfn._xlws.FILTER(Table7[[Results 1]:[Results 4]], Table7[Recipe] = Table4[[#This Row],[Recipe]]),
     _xlfn._xlws.FILTER(_xlpm.recipeResults, ISNUMBER(SEARCH(F$3, _xlpm.recipeResults)), " - ") )</f>
        <v xml:space="preserve"> - </v>
      </c>
      <c r="G17" s="8" t="str" cm="1">
        <f t="array" ref="G17">_xlfn.LET(_xlpm.recipeResults, _xlfn._xlws.FILTER(Table7[[Results 1]:[Results 4]], Table7[Recipe] = Table4[[#This Row],[Recipe]]),
     _xlfn._xlws.FILTER(_xlpm.recipeResults, ISNUMBER(SEARCH(G$3, _xlpm.recipeResults)), " - ") )</f>
        <v xml:space="preserve"> - </v>
      </c>
      <c r="H17" s="8" t="str" cm="1">
        <f t="array" ref="H17">_xlfn.LET(_xlpm.recipeResults, _xlfn._xlws.FILTER(Table7[[Results 1]:[Results 4]], Table7[Recipe] = Table4[[#This Row],[Recipe]]),
     _xlfn._xlws.FILTER(_xlpm.recipeResults, ISNUMBER(SEARCH(H$3, _xlpm.recipeResults)), " - ") )</f>
        <v xml:space="preserve"> - </v>
      </c>
      <c r="I17" s="8" t="str" cm="1">
        <f t="array" ref="I17">_xlfn.LET(_xlpm.recipeResults, _xlfn._xlws.FILTER(Table7[[Results 1]:[Results 4]], Table7[Recipe] = Table4[[#This Row],[Recipe]]),
     _xlfn._xlws.FILTER(_xlpm.recipeResults, ISNUMBER(SEARCH(I$3, _xlpm.recipeResults)), " - ") )</f>
        <v xml:space="preserve"> - </v>
      </c>
      <c r="J17" s="8" t="str" cm="1">
        <f t="array" ref="J17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7" s="8" t="str" cm="1">
        <f t="array" ref="K17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7" s="8" t="str" cm="1">
        <f t="array" ref="L17">_xlfn.LET(_xlpm.recipeResults, _xlfn._xlws.FILTER(Table7[[Results 1]:[Results 4]], Table7[Recipe] = Table4[[#This Row],[Recipe]]),
     _xlfn._xlws.FILTER(_xlpm.recipeResults, ISNUMBER(SEARCH(L$3, _xlpm.recipeResults)), " - ") )</f>
        <v xml:space="preserve"> - </v>
      </c>
      <c r="M17" s="8" t="str" cm="1">
        <f t="array" ref="M17">_xlfn.LET(_xlpm.recipeResults, _xlfn._xlws.FILTER(Table7[[Results 1]:[Results 4]], Table7[Recipe] = Table4[[#This Row],[Recipe]]),
     IFERROR(
     _xlfn._xlws.FILTER(_xlpm.recipeResults, ISNUMBER(SEARCH(M$3, _xlpm.recipeResults))), " - ") )</f>
        <v>{ type = "item", name = "stone", amount_min = 0, amount_max = 0, probability = 1 }</v>
      </c>
      <c r="N17" s="8" t="str" cm="1">
        <f t="array" ref="N17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7" s="8" t="str" cm="1">
        <f t="array" ref="O17">_xlfn.LET(_xlpm.recipeResults, _xlfn._xlws.FILTER(Table7[[Results 1]:[Results 4]], Table7[Recipe] = Table4[[#This Row],[Recipe]]),
     _xlfn._xlws.FILTER(_xlpm.recipeResults, ISNUMBER(SEARCH(O$3, _xlpm.recipeResults)), " - ") )</f>
        <v>{ type = "item", name = "uranium-238", amount_min = 3, amount_max = 5, probability = 1 }</v>
      </c>
      <c r="P17" s="8" t="str" cm="1">
        <f t="array" ref="P17">_xlfn.LET(_xlpm.recipeResults, _xlfn._xlws.FILTER(Table7[[Results 1]:[Results 4]], Table7[Recipe] = Table4[[#This Row],[Recipe]]),
     _xlfn._xlws.FILTER(_xlpm.recipeResults, ISNUMBER(SEARCH(P$3, _xlpm.recipeResults)), " - ") )</f>
        <v>{ type = "item", name = "uranium-235", amount_min = 1, amount_max = 1, probability = 0.3 }</v>
      </c>
      <c r="Q17" s="8" t="str" cm="1">
        <f t="array" ref="Q17">_xlfn.LET(_xlpm.recipeResults, _xlfn._xlws.FILTER(Table7[[Results 1]:[Results 4]], Table7[Recipe] = Table4[[#This Row],[Recipe]]),
     _xlfn._xlws.FILTER(_xlpm.recipeResults, ISNUMBER(SEARCH(Q$3, _xlpm.recipeResults)), " - ") )</f>
        <v xml:space="preserve"> - </v>
      </c>
      <c r="R17" s="8" t="str" cm="1">
        <f t="array" ref="R17">_xlfn.LET(_xlpm.recipeResults, _xlfn._xlws.FILTER(Table7[[Results 1]:[Results 4]], Table7[Recipe] = Table4[[#This Row],[Recipe]]),
     _xlfn._xlws.FILTER(_xlpm.recipeResults, ISNUMBER(SEARCH(R$3, _xlpm.recipeResults)), " - ") )</f>
        <v xml:space="preserve"> - </v>
      </c>
      <c r="S17" s="8" t="str" cm="1">
        <f t="array" ref="S17">_xlfn.LET(_xlpm.recipeResults, _xlfn._xlws.FILTER(Table7[[Results 1]:[Results 4]], Table7[Recipe] = Table4[[#This Row],[Recipe]]),
     _xlfn._xlws.FILTER(_xlpm.recipeResults, ISNUMBER(SEARCH(S$3, _xlpm.recipeResults)), " - ") )</f>
        <v xml:space="preserve"> - </v>
      </c>
      <c r="T17" s="8" t="str" cm="1">
        <f t="array" ref="T17">_xlfn.LET(_xlpm.recipeResults, _xlfn._xlws.FILTER(Table7[[Results 1]:[Results 4]], Table7[Recipe] = Table4[[#This Row],[Recipe]]),
     _xlfn._xlws.FILTER(_xlpm.recipeResults, ISNUMBER(SEARCH(T$3, _xlpm.recipeResults)), " - ") )</f>
        <v xml:space="preserve"> - </v>
      </c>
      <c r="U17" s="8" t="str" cm="1">
        <f t="array" ref="U17">_xlfn.LET(_xlpm.recipeResults, _xlfn._xlws.FILTER(Table7[[Results 1]:[Results 4]], Table7[Recipe] = Table4[[#This Row],[Recipe]]),
     _xlfn._xlws.FILTER(_xlpm.recipeResults, ISNUMBER(SEARCH(U$3, _xlpm.recipeResults)), " - ") )</f>
        <v xml:space="preserve"> - </v>
      </c>
      <c r="V17" s="8" t="str" cm="1">
        <f t="array" ref="V17">_xlfn.LET(_xlpm.recipeResults, _xlfn._xlws.FILTER(Table7[[Results 1]:[Results 4]], Table7[Recipe] = Table4[[#This Row],[Recipe]]),
     _xlfn._xlws.FILTER(_xlpm.recipeResults, ISNUMBER(SEARCH(V$3, _xlpm.recipeResults)), " - ") )</f>
        <v xml:space="preserve"> - </v>
      </c>
      <c r="W17" s="8" t="str" cm="1">
        <f t="array" ref="W17">_xlfn.LET(_xlpm.recipeResults, _xlfn._xlws.FILTER(Table7[[Results 1]:[Results 4]], Table7[Recipe] = Table4[[#This Row],[Recipe]]),
     _xlfn._xlws.FILTER(_xlpm.recipeResults, ISNUMBER(SEARCH(W$3, _xlpm.recipeResults)), " - ") )</f>
        <v xml:space="preserve"> - </v>
      </c>
      <c r="X17" s="8" t="str" cm="1">
        <f t="array" ref="X17">_xlfn.LET(_xlpm.recipeResults, _xlfn._xlws.FILTER(Table7[[Results 1]:[Results 4]], Table7[Recipe] = Table4[[#This Row],[Recipe]]),
     _xlfn._xlws.FILTER(_xlpm.recipeResults, ISNUMBER(SEARCH(X$3, _xlpm.recipeResults)), " - ") )</f>
        <v xml:space="preserve"> - </v>
      </c>
      <c r="Y17" s="8" t="str" cm="1">
        <f t="array" ref="Y17">_xlfn.LET(_xlpm.recipeResults, _xlfn._xlws.FILTER(Table7[[Results 1]:[Results 4]], Table7[Recipe] = Table4[[#This Row],[Recipe]]),
     _xlfn._xlws.FILTER(_xlpm.recipeResults, ISNUMBER(SEARCH(Y$3, _xlpm.recipeResults)), " - ") )</f>
        <v xml:space="preserve"> - </v>
      </c>
      <c r="Z17" s="8" t="str" cm="1">
        <f t="array" ref="Z17">_xlfn.LET(_xlpm.recipeResults, _xlfn._xlws.FILTER(Table7[[Results 1]:[Results 4]], Table7[Recipe] = Table4[[#This Row],[Recipe]]),
     _xlfn._xlws.FILTER(_xlpm.recipeResults, ISNUMBER(SEARCH(Z$3, _xlpm.recipeResults)), " - ") )</f>
        <v xml:space="preserve"> - </v>
      </c>
      <c r="AA17" s="8" t="str" cm="1">
        <f t="array" ref="AA17">_xlfn.LET(_xlpm.recipeResults, _xlfn._xlws.FILTER(Table7[[Results 1]:[Results 4]], Table7[Recipe] = Table4[[#This Row],[Recipe]]),
     _xlfn._xlws.FILTER(_xlpm.recipeResults, ISNUMBER(SEARCH(AA$3, _xlpm.recipeResults)), " - ") )</f>
        <v xml:space="preserve"> - </v>
      </c>
      <c r="AB17" s="8" t="str" cm="1">
        <f t="array" ref="AB17">_xlfn.LET(_xlpm.recipeResults, _xlfn._xlws.FILTER(Table7[[Results 1]:[Results 4]], Table7[Recipe] = Table4[[#This Row],[Recipe]]),
     _xlfn._xlws.FILTER(_xlpm.recipeResults, ISNUMBER(SEARCH(AB$3, _xlpm.recipeResults)), " - ") )</f>
        <v xml:space="preserve"> - </v>
      </c>
      <c r="AE17" t="str" cm="1">
        <f t="array" ref="AE17:AI17">_xlfn._xlws.FILTER( _xlfn._xlws.FILTER(Table7[], Table7[Recipe] = Table4[[#This Row],[Recipe]]),
         ISNUMBER(SEARCH("Results", Table7[#Headers])) )</f>
        <v>{ type = "item", name = "astra-nauvis-asteroid-chunk", amount_min = 1, amount_max = 1, probability = 0.05 }</v>
      </c>
      <c r="AF17" t="str">
        <v>{ type = "item", name = "stone", amount_min = 0, amount_max = 0, probability = 1 }</v>
      </c>
      <c r="AG17" t="str">
        <v>{ type = "item", name = "uranium-235", amount_min = 1, amount_max = 1, probability = 0.3 }</v>
      </c>
      <c r="AH17" t="str">
        <v>{ type = "item", name = "uranium-238", amount_min = 3, amount_max = 5, probability = 1 }</v>
      </c>
      <c r="AI17" t="str">
        <v>{ 
    { type = "item", name = "astra-nauvis-asteroid-chunk", amount_min = 1, amount_max = 1, probability = 0.05 }, 
    { type = "item", name = "stone", amount_min = 0, amount_max = 0, probability = 1 }, 
    { type = "item", name = "uranium-235", amount_min = 1, amount_max = 1, probability = 0.3 }, 
    { type = "item", name = "uranium-238", amount_min = 3, amount_max = 5, probability = 1 } 
}</v>
      </c>
    </row>
    <row r="18" spans="2:35">
      <c r="B18" t="s">
        <v>20</v>
      </c>
      <c r="C18" s="2" t="e">
        <f>INDEX(Table7[energy_required], MATCH(Table4[[#This Row],[Recipe]], Table7[Recipe], 0))</f>
        <v>#N/A</v>
      </c>
      <c r="D18" s="8"/>
      <c r="E18" s="8"/>
      <c r="F18" s="8"/>
      <c r="G18" s="8"/>
      <c r="H18" s="8"/>
      <c r="I18" s="8"/>
      <c r="J18" s="8" t="str" cm="1">
        <f t="array" ref="J18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8" s="8" t="str" cm="1">
        <f t="array" ref="K18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8" s="8"/>
      <c r="M18" s="8"/>
      <c r="N18" s="8" t="str" cm="1">
        <f t="array" ref="N18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I18" t="e" cm="1" vm="2">
        <f t="array" ref="AI18">_xlfn.LET(_xlpm.recipeResults, _xlfn._xlws.FILTER(Table7[[Results 1]:[Results 4]], Table7[Recipe] = Table4[[#This Row],[Recipe]]),
     _xlfn._xlws.FILTER(_xlpm.recipeResults, ISNUMBER(SEARCH(Table4[[#Headers],[stone]], _xlpm.recipeResults))) )</f>
        <v>#VALUE!</v>
      </c>
    </row>
    <row r="19" spans="2:35">
      <c r="B19" t="s">
        <v>21</v>
      </c>
      <c r="C19" s="2" t="e">
        <f>INDEX(Table7[energy_required], MATCH(Table4[[#This Row],[Recipe]], Table7[Recipe], 0))</f>
        <v>#N/A</v>
      </c>
      <c r="D19" s="8"/>
      <c r="E19" s="8"/>
      <c r="F19" s="8"/>
      <c r="G19" s="8"/>
      <c r="H19" s="8"/>
      <c r="I19" s="8"/>
      <c r="J19" s="8" t="str" cm="1">
        <f t="array" ref="J19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9" s="8" t="str" cm="1">
        <f t="array" ref="K19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9" s="8"/>
      <c r="M19" s="8"/>
      <c r="N19" s="8" t="str" cm="1">
        <f t="array" ref="N19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9" s="8"/>
      <c r="P19" s="8"/>
      <c r="Q19" s="8"/>
      <c r="R19" s="8"/>
      <c r="S19" s="8"/>
      <c r="T19" s="8" t="s">
        <v>13</v>
      </c>
      <c r="U19" s="8" t="s">
        <v>13</v>
      </c>
      <c r="V19" s="8" t="s">
        <v>13</v>
      </c>
      <c r="W19" s="8" t="s">
        <v>13</v>
      </c>
      <c r="X19" s="8"/>
      <c r="Y19" s="8"/>
      <c r="Z19" s="8"/>
      <c r="AA19" s="8"/>
      <c r="AB19" s="8"/>
    </row>
    <row r="20" spans="2:35">
      <c r="B20" t="s">
        <v>22</v>
      </c>
      <c r="C20" s="2" t="e">
        <f>INDEX(Table7[energy_required], MATCH(Table4[[#This Row],[Recipe]], Table7[Recipe], 0))</f>
        <v>#N/A</v>
      </c>
      <c r="D20" s="8"/>
      <c r="E20" s="8"/>
      <c r="F20" s="8"/>
      <c r="G20" s="8"/>
      <c r="H20" s="8"/>
      <c r="I20" s="8"/>
      <c r="J20" s="8" t="str" cm="1">
        <f t="array" ref="J20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20" s="8" t="str" cm="1">
        <f t="array" ref="K20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20" s="8"/>
      <c r="M20" s="8"/>
      <c r="N20" s="8" t="str" cm="1">
        <f t="array" ref="N20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20" s="8"/>
      <c r="P20" s="8"/>
      <c r="Q20" s="8"/>
      <c r="R20" s="8"/>
      <c r="S20" s="8"/>
      <c r="T20" s="8"/>
      <c r="U20" s="8"/>
      <c r="V20" s="8"/>
      <c r="W20" s="8"/>
      <c r="X20" s="8" t="s">
        <v>13</v>
      </c>
      <c r="Y20" s="8" t="s">
        <v>13</v>
      </c>
      <c r="Z20" s="8" t="s">
        <v>13</v>
      </c>
      <c r="AA20" s="8"/>
      <c r="AB20" s="8"/>
    </row>
    <row r="21" spans="2:35">
      <c r="B21" t="s">
        <v>24</v>
      </c>
      <c r="C21" s="2" t="e">
        <f>INDEX(Table7[energy_required], MATCH(Table4[[#This Row],[Recipe]], Table7[Recipe], 0))</f>
        <v>#N/A</v>
      </c>
      <c r="D21" s="8"/>
      <c r="E21" s="8"/>
      <c r="F21" s="8"/>
      <c r="G21" s="8"/>
      <c r="H21" s="8"/>
      <c r="I21" s="8"/>
      <c r="J21" s="8" t="str" cm="1">
        <f t="array" ref="J21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21" s="8" t="str" cm="1">
        <f t="array" ref="K21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21" s="8"/>
      <c r="M21" s="8"/>
      <c r="N21" s="8" t="str" cm="1">
        <f t="array" ref="N21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21" s="8" t="s">
        <v>13</v>
      </c>
      <c r="P21" s="8" t="s">
        <v>13</v>
      </c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2:35">
      <c r="B22" t="s">
        <v>25</v>
      </c>
      <c r="C22" s="2" t="e">
        <f>INDEX(Table7[energy_required], MATCH(Table4[[#This Row],[Recipe]], Table7[Recipe], 0))</f>
        <v>#N/A</v>
      </c>
      <c r="D22" s="8"/>
      <c r="E22" s="8"/>
      <c r="F22" s="8"/>
      <c r="G22" s="8"/>
      <c r="H22" s="8"/>
      <c r="I22" s="8"/>
      <c r="J22" s="8" t="str" cm="1">
        <f t="array" ref="J22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22" s="8" t="str" cm="1">
        <f t="array" ref="K22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22" s="8"/>
      <c r="M22" s="8"/>
      <c r="N22" s="8" t="str" cm="1">
        <f t="array" ref="N22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22" s="8"/>
      <c r="P22" s="8"/>
      <c r="Q22" s="8" t="s">
        <v>13</v>
      </c>
      <c r="R22" s="8" t="s">
        <v>13</v>
      </c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2:35">
      <c r="B23" t="s">
        <v>26</v>
      </c>
      <c r="C23" s="2" t="e">
        <f>INDEX(Table7[energy_required], MATCH(Table4[[#This Row],[Recipe]], Table7[Recipe], 0))</f>
        <v>#N/A</v>
      </c>
      <c r="D23" s="8"/>
      <c r="E23" s="8"/>
      <c r="F23" s="8"/>
      <c r="G23" s="8"/>
      <c r="H23" s="8"/>
      <c r="I23" s="8"/>
      <c r="J23" s="8" t="str" cm="1">
        <f t="array" ref="J23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23" s="8" t="str" cm="1">
        <f t="array" ref="K23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23" s="8"/>
      <c r="M23" s="8"/>
      <c r="N23" s="8" t="str" cm="1">
        <f t="array" ref="N23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 t="s">
        <v>13</v>
      </c>
      <c r="AE23" t="s">
        <v>47</v>
      </c>
    </row>
    <row r="24" spans="2:35">
      <c r="B24" t="s">
        <v>27</v>
      </c>
      <c r="C24" s="2" t="e">
        <f>INDEX(Table7[energy_required], MATCH(Table4[[#This Row],[Recipe]], Table7[Recipe], 0))</f>
        <v>#N/A</v>
      </c>
      <c r="D24" s="8"/>
      <c r="E24" s="8"/>
      <c r="F24" s="8"/>
      <c r="G24" s="8"/>
      <c r="H24" s="8"/>
      <c r="I24" s="8"/>
      <c r="J24" s="8" t="str" cm="1">
        <f t="array" ref="J24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24" s="8" t="str" cm="1">
        <f t="array" ref="K24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24" s="8"/>
      <c r="M24" s="8"/>
      <c r="N24" s="8" t="str" cm="1">
        <f t="array" ref="N24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E24" t="s">
        <v>48</v>
      </c>
    </row>
    <row r="25" spans="2:35">
      <c r="B25" t="s">
        <v>28</v>
      </c>
      <c r="C25" s="2" t="e">
        <f>INDEX(Table7[energy_required], MATCH(Table4[[#This Row],[Recipe]], Table7[Recipe], 0))</f>
        <v>#N/A</v>
      </c>
      <c r="D25" s="8"/>
      <c r="E25" s="8"/>
      <c r="F25" s="8"/>
      <c r="G25" s="8"/>
      <c r="H25" s="8"/>
      <c r="I25" s="8"/>
      <c r="J25" s="8" t="str" cm="1">
        <f t="array" ref="J25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25" s="8" t="str" cm="1">
        <f t="array" ref="K25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25" s="8"/>
      <c r="M25" s="8"/>
      <c r="N25" s="8" t="str" cm="1">
        <f t="array" ref="N25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E25">
        <v>0</v>
      </c>
    </row>
    <row r="26" spans="2:35">
      <c r="AE26">
        <v>0</v>
      </c>
    </row>
    <row r="28" spans="2:35">
      <c r="AE28" s="7" t="s">
        <v>64</v>
      </c>
    </row>
    <row r="35" spans="4:14">
      <c r="D35" s="2" t="s">
        <v>71</v>
      </c>
    </row>
    <row r="36" spans="4:14">
      <c r="D36" s="2" t="s">
        <v>66</v>
      </c>
    </row>
    <row r="37" spans="4:14">
      <c r="D37" s="2" t="s">
        <v>67</v>
      </c>
    </row>
    <row r="38" spans="4:14">
      <c r="D38" s="2" t="s">
        <v>69</v>
      </c>
      <c r="N38" s="2" t="e">
        <f>_xlfn.TEXTBEFORE(_xlfn.TEXTAFTER(SUBSTITUTE(N17, "}", ","), "amount_max = "), ",", , , , 0)</f>
        <v>#N/A</v>
      </c>
    </row>
    <row r="39" spans="4:14">
      <c r="D39" s="2" t="s">
        <v>232</v>
      </c>
      <c r="N39" s="2" t="e">
        <f>_xlfn.TEXTBEFORE(_xlfn.TEXTAFTER(SUBSTITUTE(N17, "}", ","), "amount_min = "), ",", , , , 0)</f>
        <v>#N/A</v>
      </c>
    </row>
    <row r="40" spans="4:14">
      <c r="D40" s="2" t="s">
        <v>77</v>
      </c>
      <c r="N40" s="2" t="e">
        <f>_xlfn.TEXTBEFORE(_xlfn.TEXTAFTER(SUBSTITUTE(N17, "}", ","), "amount = "), ",", , , , 0)</f>
        <v>#N/A</v>
      </c>
    </row>
    <row r="41" spans="4:14">
      <c r="D41" s="2" t="s">
        <v>76</v>
      </c>
      <c r="N41" s="2" t="e">
        <f>_xlfn.TEXTBEFORE(_xlfn.TEXTAFTER(SUBSTITUTE(N17, "}", ","), "probability = "), ",", , , , 0)</f>
        <v>#N/A</v>
      </c>
    </row>
    <row r="42" spans="4:14">
      <c r="D42" s="2" t="s">
        <v>65</v>
      </c>
    </row>
    <row r="43" spans="4:14">
      <c r="D43" s="2" t="s">
        <v>79</v>
      </c>
    </row>
    <row r="44" spans="4:14">
      <c r="D44" s="2" t="s">
        <v>78</v>
      </c>
    </row>
    <row r="45" spans="4:14">
      <c r="D45" s="2" t="s">
        <v>72</v>
      </c>
    </row>
    <row r="46" spans="4:14">
      <c r="D46" s="2" t="s">
        <v>68</v>
      </c>
    </row>
    <row r="47" spans="4:14">
      <c r="D47" s="2" t="s">
        <v>70</v>
      </c>
    </row>
    <row r="48" spans="4:14">
      <c r="D48" s="2" t="s">
        <v>73</v>
      </c>
    </row>
    <row r="49" spans="4:4">
      <c r="D49" s="2" t="s">
        <v>168</v>
      </c>
    </row>
    <row r="50" spans="4:4">
      <c r="D50" s="2" t="s">
        <v>80</v>
      </c>
    </row>
    <row r="51" spans="4:4">
      <c r="D51" s="2" t="s">
        <v>167</v>
      </c>
    </row>
    <row r="52" spans="4:4">
      <c r="D52" s="2" t="s">
        <v>169</v>
      </c>
    </row>
  </sheetData>
  <phoneticPr fontId="1" type="noConversion"/>
  <conditionalFormatting sqref="B17:AB17">
    <cfRule type="expression" dxfId="23" priority="1" stopIfTrue="1">
      <formula>TRUE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3FD2-BC79-4DE4-945B-7AF801A57BBD}">
  <sheetPr codeName="Sheet2"/>
  <dimension ref="A1:Q23"/>
  <sheetViews>
    <sheetView topLeftCell="H1" workbookViewId="0">
      <selection activeCell="M23" sqref="M23"/>
    </sheetView>
    <sheetView workbookViewId="1"/>
  </sheetViews>
  <sheetFormatPr defaultRowHeight="14.25"/>
  <cols>
    <col min="2" max="2" width="23.75" customWidth="1"/>
    <col min="3" max="3" width="27.875" customWidth="1"/>
    <col min="4" max="4" width="35" bestFit="1" customWidth="1"/>
    <col min="5" max="5" width="16.625" bestFit="1" customWidth="1"/>
    <col min="6" max="6" width="8.125" bestFit="1" customWidth="1"/>
    <col min="7" max="7" width="54.625" bestFit="1" customWidth="1"/>
    <col min="8" max="8" width="12.375" bestFit="1" customWidth="1"/>
    <col min="9" max="9" width="16.75" customWidth="1"/>
    <col min="11" max="11" width="23.75" customWidth="1"/>
    <col min="12" max="12" width="16.625" customWidth="1"/>
    <col min="13" max="13" width="35" bestFit="1" customWidth="1"/>
    <col min="14" max="14" width="52.625" customWidth="1"/>
    <col min="15" max="15" width="10" customWidth="1"/>
    <col min="16" max="16" width="54.625" bestFit="1" customWidth="1"/>
  </cols>
  <sheetData>
    <row r="1" spans="1:17" ht="15.75" thickBot="1">
      <c r="B1" s="5"/>
    </row>
    <row r="2" spans="1:17" ht="24" customHeight="1" thickTop="1" thickBot="1">
      <c r="A2" t="s">
        <v>200</v>
      </c>
      <c r="B2" s="17" t="str" cm="1">
        <f t="array" ref="B2">_xlfn.TEXTJOIN("
", TRUE, "local " &amp; Chunk_Items[Variable''s Name] &amp; " = " &amp; $B$6)</f>
        <v>local crude_asteroid_chunk_item = table.deepcopy(data.raw.item["metallic-asteroid-chunk"])
local nauvis_asteroid_chunk_item = table.deepcopy(data.raw.item["metallic-asteroid-chunk"])
local vulcanus_asteroid_chunk_item = table.deepcopy(data.raw.item["metallic-asteroid-chunk"])
local gleba_asteroid_chunk_item = table.deepcopy(data.raw.item["metallic-asteroid-chunk"])
local fulgora_asteroid_chunk_item = table.deepcopy(data.raw.item["metallic-asteroid-chunk"])</v>
      </c>
      <c r="J2" t="s">
        <v>200</v>
      </c>
      <c r="K2" s="17" t="str" cm="1">
        <f t="array" ref="K2">_xlfn.TEXTJOIN("
", TRUE, "local " &amp; Chunks[Variable''s Name] &amp; " = " &amp; $K$6)</f>
        <v>local crude_asteroid_chunk = table.deepcopy(data.raw["asteroid-chunk"]["metallic-asteroid-chunk"])
local nauvis_asteroid_chunk = table.deepcopy(data.raw["asteroid-chunk"]["metallic-asteroid-chunk"])
local vulcanus_asteroid_chunk = table.deepcopy(data.raw["asteroid-chunk"]["metallic-asteroid-chunk"])
local gleba_asteroid_chunk = table.deepcopy(data.raw["asteroid-chunk"]["metallic-asteroid-chunk"])
local fulgora_asteroid_chunk = table.deepcopy(data.raw["asteroid-chunk"]["metallic-asteroid-chunk"])</v>
      </c>
    </row>
    <row r="3" spans="1:17" ht="15.75" thickTop="1" thickBot="1"/>
    <row r="4" spans="1:17" ht="19.5" customHeight="1" thickTop="1" thickBot="1">
      <c r="A4" t="s">
        <v>201</v>
      </c>
      <c r="B4" s="12" t="str">
        <f>_xlfn.TEXTJOIN("
", TRUE, Chunk_Items[full string])</f>
        <v>crude_asteroid_chunk_item.name = "astra-crude-asteroid-chunk"
crude_asteroid_chunk_item.type = "item"
crude_asteroid_chunk_item.subgroup = "space-material"
crude_asteroid_chunk_item.order = "f"
crude_asteroid_chunk_item.icon = "__Astra-Asteroids__/graphics/crude_asteroid_chunk.png"
crude_asteroid_chunk_item.stack_size = 1
nauvis_asteroid_chunk_item.name = "astra-nauvis-asteroid-chunk"
nauvis_asteroid_chunk_item.type = "item"
nauvis_asteroid_chunk_item.subgroup = "space-material"
nauvis_asteroid_chunk_item.order = "f"
nauvis_asteroid_chunk_item.icon = "__Astra-Asteroids__/graphics/nauvis_asteroid_chunk.png"
nauvis_asteroid_chunk_item.stack_size = 1
vulcanus_asteroid_chunk_item.name = "astra-vulcanic-asteroid-chunk"
vulcanus_asteroid_chunk_item.type = "item"
vulcanus_asteroid_chunk_item.subgroup = "space-material"
vulcanus_asteroid_chunk_item.order = "v"
vulcanus_asteroid_chunk_item.icon = "__Astra-Asteroids__/graphics/vulcanus_asteroid_chunk.png"
vulcanus_asteroid_chunk_item.stack_size = 1
gleba_asteroid_chunk_item.name = "astra-gleba-asteroid-chunk"
gleba_asteroid_chunk_item.type = "item"
gleba_asteroid_chunk_item.subgroup = "space-material"
gleba_asteroid_chunk_item.order = "g"
gleba_asteroid_chunk_item.icon = "__Astra-Asteroids__/graphics/gleba_asteroid_chunk.png"
gleba_asteroid_chunk_item.stack_size = 1
fulgora_asteroid_chunk_item.name = "astra-fulgoran-asteroid-chunk"
fulgora_asteroid_chunk_item.type = "item"
fulgora_asteroid_chunk_item.subgroup = "space-material"
fulgora_asteroid_chunk_item.order = "f"
fulgora_asteroid_chunk_item.icon = "__Astra-Asteroids__/graphics/fulgoran_asteroid_chunk.png"
fulgora_asteroid_chunk_item.stack_size = 1</v>
      </c>
      <c r="J4" t="s">
        <v>201</v>
      </c>
      <c r="K4" s="12" t="str">
        <f>_xlfn.TEXTJOIN("
", TRUE, Chunks[full string])</f>
        <v>crude_asteroid_chunk.name = "astra-crude-asteroid-chunk"
crude_asteroid_chunk.type = "asteroid-chunk"
crude_asteroid_chunk.minable = {mining_time = 0.2, result = "astra-crude-asteroid-chunk"}
crude_asteroid_chunk.order = "f"
crude_asteroid_chunk.icon = "__Astra-Asteroids__/graphics/crude_asteroid_chunk.png"
nauvis_asteroid_chunk.name = "astra-nauvis-asteroid-chunk"
nauvis_asteroid_chunk.type = "asteroid-chunk"
nauvis_asteroid_chunk.minable = {mining_time = 0.2, result = "astra-nauvis-asteroid-chunk"}
nauvis_asteroid_chunk.order = "n"
nauvis_asteroid_chunk.icon = "__Astra-Asteroids__/graphics/nauvis_asteroid_chunk.png"
vulcanus_asteroid_chunk.name = "astra-vulcanic-asteroid-chunk"
vulcanus_asteroid_chunk.type = "asteroid-chunk"
vulcanus_asteroid_chunk.minable = {mining_time = 0.2, result = "astra-volcanic-asteroid-chunk"}
vulcanus_asteroid_chunk.order = "v"
vulcanus_asteroid_chunk.icon = "__Astra-Asteroids__/graphics/vulcanus_asteroid_chunk.png"
gleba_asteroid_chunk.name = "astra-gleba-asteroid-chunk"
gleba_asteroid_chunk.type = "asteroid-chunk"
gleba_asteroid_chunk.minable = {mining_time = 0.2, result = "astra-gleba-asteroid-chunk"}
gleba_asteroid_chunk.order = "g"
gleba_asteroid_chunk.icon = "__Astra-Asteroids__/graphics/gleba_asteroid_chunk.png"
fulgora_asteroid_chunk.name = "astra-fulgoran-asteroid-chunk"
fulgora_asteroid_chunk.type = "asteroid-chunk"
fulgora_asteroid_chunk.minable = {mining_time = 0.2, result = "astra-fulgoran-asteroid-chunk"}
fulgora_asteroid_chunk.order = "f"
fulgora_asteroid_chunk.icon = "__Astra-Asteroids__/graphics/fulgoran_asteroid_chunk.png"</v>
      </c>
    </row>
    <row r="5" spans="1:17" ht="15.75" thickTop="1">
      <c r="B5" s="5"/>
    </row>
    <row r="6" spans="1:17" ht="15">
      <c r="B6" s="13" t="s">
        <v>192</v>
      </c>
      <c r="H6" s="13"/>
      <c r="I6" s="13"/>
      <c r="K6" s="13" t="s">
        <v>191</v>
      </c>
    </row>
    <row r="8" spans="1:17">
      <c r="B8" t="s">
        <v>172</v>
      </c>
      <c r="C8" t="s">
        <v>30</v>
      </c>
      <c r="D8" t="s">
        <v>29</v>
      </c>
      <c r="E8" t="s">
        <v>31</v>
      </c>
      <c r="F8" t="s">
        <v>32</v>
      </c>
      <c r="G8" t="s">
        <v>33</v>
      </c>
      <c r="H8" t="s">
        <v>34</v>
      </c>
      <c r="I8" t="s">
        <v>211</v>
      </c>
      <c r="K8" t="s">
        <v>172</v>
      </c>
      <c r="L8" t="s">
        <v>30</v>
      </c>
      <c r="M8" t="s">
        <v>29</v>
      </c>
      <c r="N8" t="s">
        <v>212</v>
      </c>
      <c r="O8" t="s">
        <v>32</v>
      </c>
      <c r="P8" t="s">
        <v>33</v>
      </c>
      <c r="Q8" t="s">
        <v>211</v>
      </c>
    </row>
    <row r="9" spans="1:17">
      <c r="B9" t="s">
        <v>55</v>
      </c>
      <c r="C9" t="s">
        <v>213</v>
      </c>
      <c r="D9" t="str">
        <f>"""item"""</f>
        <v>"item"</v>
      </c>
      <c r="E9" t="str">
        <f>"""space-material"""</f>
        <v>"space-material"</v>
      </c>
      <c r="F9" t="s">
        <v>35</v>
      </c>
      <c r="G9" t="s">
        <v>188</v>
      </c>
      <c r="H9">
        <f>1</f>
        <v>1</v>
      </c>
      <c r="I9" t="str" cm="1">
        <f t="array" ref="I9">_xlfn.TEXTJOIN("
", TRUE, Chunk_Items[[#This Row],[Variable''s Name]] &amp; "." &amp; Chunk_Items[[#Headers],[name]:[stack_size]] &amp; " = " &amp; Chunk_Items[[#This Row],[name]:[stack_size]])</f>
        <v>crude_asteroid_chunk_item.name = "astra-crude-asteroid-chunk"
crude_asteroid_chunk_item.type = "item"
crude_asteroid_chunk_item.subgroup = "space-material"
crude_asteroid_chunk_item.order = "f"
crude_asteroid_chunk_item.icon = "__Astra-Asteroids__/graphics/crude_asteroid_chunk.png"
crude_asteroid_chunk_item.stack_size = 1</v>
      </c>
      <c r="K9" t="s">
        <v>202</v>
      </c>
      <c r="L9" t="s">
        <v>213</v>
      </c>
      <c r="M9" t="str">
        <f>"""asteroid-chunk"""</f>
        <v>"asteroid-chunk"</v>
      </c>
      <c r="N9" t="s">
        <v>218</v>
      </c>
      <c r="O9" t="s">
        <v>35</v>
      </c>
      <c r="P9" t="s">
        <v>188</v>
      </c>
      <c r="Q9" t="str" cm="1">
        <f t="array" ref="Q9">_xlfn.TEXTJOIN("
", TRUE, Chunks[[#This Row],[Variable''s Name]] &amp; "." &amp; Chunks[[#Headers],[name]:[icon]] &amp; " = " &amp; Chunks[[#This Row],[name]:[icon]])</f>
        <v>crude_asteroid_chunk.name = "astra-crude-asteroid-chunk"
crude_asteroid_chunk.type = "asteroid-chunk"
crude_asteroid_chunk.minable = {mining_time = 0.2, result = "astra-crude-asteroid-chunk"}
crude_asteroid_chunk.order = "f"
crude_asteroid_chunk.icon = "__Astra-Asteroids__/graphics/crude_asteroid_chunk.png"</v>
      </c>
    </row>
    <row r="10" spans="1:17">
      <c r="B10" t="s">
        <v>54</v>
      </c>
      <c r="C10" t="s">
        <v>214</v>
      </c>
      <c r="D10" t="str">
        <f>"""item"""</f>
        <v>"item"</v>
      </c>
      <c r="E10" t="str">
        <f>"""space-material"""</f>
        <v>"space-material"</v>
      </c>
      <c r="F10" t="s">
        <v>35</v>
      </c>
      <c r="G10" t="s">
        <v>189</v>
      </c>
      <c r="H10">
        <f>1</f>
        <v>1</v>
      </c>
      <c r="I10" t="str" cm="1">
        <f t="array" ref="I10">_xlfn.TEXTJOIN("
", TRUE, Chunk_Items[[#This Row],[Variable''s Name]] &amp; "." &amp; Chunk_Items[[#Headers],[name]:[stack_size]] &amp; " = " &amp; Chunk_Items[[#This Row],[name]:[stack_size]])</f>
        <v>nauvis_asteroid_chunk_item.name = "astra-nauvis-asteroid-chunk"
nauvis_asteroid_chunk_item.type = "item"
nauvis_asteroid_chunk_item.subgroup = "space-material"
nauvis_asteroid_chunk_item.order = "f"
nauvis_asteroid_chunk_item.icon = "__Astra-Asteroids__/graphics/nauvis_asteroid_chunk.png"
nauvis_asteroid_chunk_item.stack_size = 1</v>
      </c>
      <c r="K10" t="s">
        <v>203</v>
      </c>
      <c r="L10" t="s">
        <v>214</v>
      </c>
      <c r="M10" t="str">
        <f>"""asteroid-chunk"""</f>
        <v>"asteroid-chunk"</v>
      </c>
      <c r="N10" t="s">
        <v>219</v>
      </c>
      <c r="O10" t="s">
        <v>36</v>
      </c>
      <c r="P10" t="s">
        <v>189</v>
      </c>
      <c r="Q10" t="str" cm="1">
        <f t="array" ref="Q10">_xlfn.TEXTJOIN("
", TRUE, Chunks[[#This Row],[Variable''s Name]] &amp; "." &amp; Chunks[[#Headers],[name]:[icon]] &amp; " = " &amp; Chunks[[#This Row],[name]:[icon]])</f>
        <v>nauvis_asteroid_chunk.name = "astra-nauvis-asteroid-chunk"
nauvis_asteroid_chunk.type = "asteroid-chunk"
nauvis_asteroid_chunk.minable = {mining_time = 0.2, result = "astra-nauvis-asteroid-chunk"}
nauvis_asteroid_chunk.order = "n"
nauvis_asteroid_chunk.icon = "__Astra-Asteroids__/graphics/nauvis_asteroid_chunk.png"</v>
      </c>
    </row>
    <row r="11" spans="1:17">
      <c r="B11" t="s">
        <v>207</v>
      </c>
      <c r="C11" t="s">
        <v>215</v>
      </c>
      <c r="D11" t="str">
        <f>"""item"""</f>
        <v>"item"</v>
      </c>
      <c r="E11" t="str">
        <f>"""space-material"""</f>
        <v>"space-material"</v>
      </c>
      <c r="F11" t="s">
        <v>83</v>
      </c>
      <c r="G11" t="s">
        <v>190</v>
      </c>
      <c r="H11">
        <f>1</f>
        <v>1</v>
      </c>
      <c r="I11" t="str" cm="1">
        <f t="array" ref="I11">_xlfn.TEXTJOIN("
", TRUE, Chunk_Items[[#This Row],[Variable''s Name]] &amp; "." &amp; Chunk_Items[[#Headers],[name]:[stack_size]] &amp; " = " &amp; Chunk_Items[[#This Row],[name]:[stack_size]])</f>
        <v>vulcanus_asteroid_chunk_item.name = "astra-vulcanic-asteroid-chunk"
vulcanus_asteroid_chunk_item.type = "item"
vulcanus_asteroid_chunk_item.subgroup = "space-material"
vulcanus_asteroid_chunk_item.order = "v"
vulcanus_asteroid_chunk_item.icon = "__Astra-Asteroids__/graphics/vulcanus_asteroid_chunk.png"
vulcanus_asteroid_chunk_item.stack_size = 1</v>
      </c>
      <c r="K11" t="s">
        <v>209</v>
      </c>
      <c r="L11" t="s">
        <v>215</v>
      </c>
      <c r="M11" t="str">
        <f>"""asteroid-chunk"""</f>
        <v>"asteroid-chunk"</v>
      </c>
      <c r="N11" t="s">
        <v>220</v>
      </c>
      <c r="O11" t="s">
        <v>83</v>
      </c>
      <c r="P11" t="s">
        <v>190</v>
      </c>
      <c r="Q11" t="str" cm="1">
        <f t="array" ref="Q11">_xlfn.TEXTJOIN("
", TRUE, Chunks[[#This Row],[Variable''s Name]] &amp; "." &amp; Chunks[[#Headers],[name]:[icon]] &amp; " = " &amp; Chunks[[#This Row],[name]:[icon]])</f>
        <v>vulcanus_asteroid_chunk.name = "astra-vulcanic-asteroid-chunk"
vulcanus_asteroid_chunk.type = "asteroid-chunk"
vulcanus_asteroid_chunk.minable = {mining_time = 0.2, result = "astra-volcanic-asteroid-chunk"}
vulcanus_asteroid_chunk.order = "v"
vulcanus_asteroid_chunk.icon = "__Astra-Asteroids__/graphics/vulcanus_asteroid_chunk.png"</v>
      </c>
    </row>
    <row r="12" spans="1:17">
      <c r="B12" t="s">
        <v>56</v>
      </c>
      <c r="C12" t="s">
        <v>216</v>
      </c>
      <c r="D12" t="str">
        <f>"""item"""</f>
        <v>"item"</v>
      </c>
      <c r="E12" t="str">
        <f>"""space-material"""</f>
        <v>"space-material"</v>
      </c>
      <c r="F12" t="s">
        <v>170</v>
      </c>
      <c r="G12" t="s">
        <v>205</v>
      </c>
      <c r="H12">
        <f>1</f>
        <v>1</v>
      </c>
      <c r="I12" t="str" cm="1">
        <f t="array" ref="I12">_xlfn.TEXTJOIN("
", TRUE, Chunk_Items[[#This Row],[Variable''s Name]] &amp; "." &amp; Chunk_Items[[#Headers],[name]:[stack_size]] &amp; " = " &amp; Chunk_Items[[#This Row],[name]:[stack_size]])</f>
        <v>gleba_asteroid_chunk_item.name = "astra-gleba-asteroid-chunk"
gleba_asteroid_chunk_item.type = "item"
gleba_asteroid_chunk_item.subgroup = "space-material"
gleba_asteroid_chunk_item.order = "g"
gleba_asteroid_chunk_item.icon = "__Astra-Asteroids__/graphics/gleba_asteroid_chunk.png"
gleba_asteroid_chunk_item.stack_size = 1</v>
      </c>
      <c r="K12" t="s">
        <v>204</v>
      </c>
      <c r="L12" t="s">
        <v>216</v>
      </c>
      <c r="M12" t="str">
        <f t="shared" ref="M12:M13" si="0">"""asteroid-chunk"""</f>
        <v>"asteroid-chunk"</v>
      </c>
      <c r="N12" t="s">
        <v>221</v>
      </c>
      <c r="O12" t="s">
        <v>170</v>
      </c>
      <c r="P12" t="s">
        <v>205</v>
      </c>
      <c r="Q12" t="str" cm="1">
        <f t="array" ref="Q12">_xlfn.TEXTJOIN("
", TRUE, Chunks[[#This Row],[Variable''s Name]] &amp; "." &amp; Chunks[[#Headers],[name]:[icon]] &amp; " = " &amp; Chunks[[#This Row],[name]:[icon]])</f>
        <v>gleba_asteroid_chunk.name = "astra-gleba-asteroid-chunk"
gleba_asteroid_chunk.type = "asteroid-chunk"
gleba_asteroid_chunk.minable = {mining_time = 0.2, result = "astra-gleba-asteroid-chunk"}
gleba_asteroid_chunk.order = "g"
gleba_asteroid_chunk.icon = "__Astra-Asteroids__/graphics/gleba_asteroid_chunk.png"</v>
      </c>
    </row>
    <row r="13" spans="1:17">
      <c r="B13" t="s">
        <v>208</v>
      </c>
      <c r="C13" t="s">
        <v>217</v>
      </c>
      <c r="D13" t="str">
        <f>"""item"""</f>
        <v>"item"</v>
      </c>
      <c r="E13" t="str">
        <f>"""space-material"""</f>
        <v>"space-material"</v>
      </c>
      <c r="F13" t="s">
        <v>35</v>
      </c>
      <c r="G13" t="s">
        <v>206</v>
      </c>
      <c r="H13">
        <f>1</f>
        <v>1</v>
      </c>
      <c r="I13" t="str" cm="1">
        <f t="array" ref="I13">_xlfn.TEXTJOIN("
", TRUE, Chunk_Items[[#This Row],[Variable''s Name]] &amp; "." &amp; Chunk_Items[[#Headers],[name]:[stack_size]] &amp; " = " &amp; Chunk_Items[[#This Row],[name]:[stack_size]])</f>
        <v>fulgora_asteroid_chunk_item.name = "astra-fulgoran-asteroid-chunk"
fulgora_asteroid_chunk_item.type = "item"
fulgora_asteroid_chunk_item.subgroup = "space-material"
fulgora_asteroid_chunk_item.order = "f"
fulgora_asteroid_chunk_item.icon = "__Astra-Asteroids__/graphics/fulgoran_asteroid_chunk.png"
fulgora_asteroid_chunk_item.stack_size = 1</v>
      </c>
      <c r="K13" t="s">
        <v>210</v>
      </c>
      <c r="L13" t="s">
        <v>217</v>
      </c>
      <c r="M13" t="str">
        <f t="shared" si="0"/>
        <v>"asteroid-chunk"</v>
      </c>
      <c r="N13" t="s">
        <v>222</v>
      </c>
      <c r="O13" t="s">
        <v>35</v>
      </c>
      <c r="P13" t="s">
        <v>206</v>
      </c>
      <c r="Q13" t="str" cm="1">
        <f t="array" ref="Q13">_xlfn.TEXTJOIN("
", TRUE, Chunks[[#This Row],[Variable''s Name]] &amp; "." &amp; Chunks[[#Headers],[name]:[icon]] &amp; " = " &amp; Chunks[[#This Row],[name]:[icon]])</f>
        <v>fulgora_asteroid_chunk.name = "astra-fulgoran-asteroid-chunk"
fulgora_asteroid_chunk.type = "asteroid-chunk"
fulgora_asteroid_chunk.minable = {mining_time = 0.2, result = "astra-fulgoran-asteroid-chunk"}
fulgora_asteroid_chunk.order = "f"
fulgora_asteroid_chunk.icon = "__Astra-Asteroids__/graphics/fulgoran_asteroid_chunk.png"</v>
      </c>
    </row>
    <row r="19" spans="13:13" ht="15">
      <c r="M19" s="4"/>
    </row>
    <row r="20" spans="13:13" ht="15">
      <c r="M20" s="6"/>
    </row>
    <row r="21" spans="13:13" ht="15">
      <c r="M21" s="6"/>
    </row>
    <row r="22" spans="13:13" ht="15">
      <c r="M22" s="6"/>
    </row>
    <row r="23" spans="13:13" ht="15">
      <c r="M23" s="6"/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BEB89-09DE-47E6-BED5-650329C4E2D3}">
  <dimension ref="A1:Y21"/>
  <sheetViews>
    <sheetView workbookViewId="0"/>
    <sheetView workbookViewId="1"/>
  </sheetViews>
  <sheetFormatPr defaultRowHeight="14.25"/>
  <cols>
    <col min="1" max="1" width="31.5" bestFit="1" customWidth="1"/>
    <col min="2" max="2" width="12.625" bestFit="1" customWidth="1"/>
    <col min="3" max="3" width="12.75" bestFit="1" customWidth="1"/>
    <col min="4" max="4" width="33.375" bestFit="1" customWidth="1"/>
    <col min="5" max="5" width="37.5" bestFit="1" customWidth="1"/>
    <col min="6" max="6" width="15.5" bestFit="1" customWidth="1"/>
    <col min="7" max="7" width="16.5" bestFit="1" customWidth="1"/>
    <col min="8" max="8" width="19.125" bestFit="1" customWidth="1"/>
    <col min="9" max="9" width="19.5" bestFit="1" customWidth="1"/>
    <col min="10" max="10" width="12.875" bestFit="1" customWidth="1"/>
    <col min="11" max="11" width="15.5" bestFit="1" customWidth="1"/>
    <col min="12" max="12" width="18" bestFit="1" customWidth="1"/>
    <col min="13" max="13" width="19.125" bestFit="1" customWidth="1"/>
    <col min="14" max="14" width="19.5" bestFit="1" customWidth="1"/>
    <col min="15" max="15" width="12.875" bestFit="1" customWidth="1"/>
    <col min="16" max="16" width="15.5" bestFit="1" customWidth="1"/>
    <col min="17" max="17" width="20.75" bestFit="1" customWidth="1"/>
    <col min="18" max="18" width="19.125" bestFit="1" customWidth="1"/>
    <col min="19" max="19" width="19.5" bestFit="1" customWidth="1"/>
    <col min="20" max="20" width="12.875" bestFit="1" customWidth="1"/>
    <col min="21" max="21" width="15.5" bestFit="1" customWidth="1"/>
    <col min="22" max="22" width="25.375" bestFit="1" customWidth="1"/>
    <col min="23" max="23" width="19.125" bestFit="1" customWidth="1"/>
    <col min="24" max="24" width="19.5" bestFit="1" customWidth="1"/>
    <col min="25" max="25" width="12.875" bestFit="1" customWidth="1"/>
  </cols>
  <sheetData>
    <row r="1" spans="1:25">
      <c r="A1" t="s">
        <v>23</v>
      </c>
      <c r="B1" t="s">
        <v>53</v>
      </c>
      <c r="C1" t="s">
        <v>199</v>
      </c>
      <c r="D1" t="s">
        <v>172</v>
      </c>
      <c r="E1" t="s">
        <v>30</v>
      </c>
      <c r="F1" t="s">
        <v>154</v>
      </c>
      <c r="G1" t="s">
        <v>96</v>
      </c>
      <c r="H1" t="s">
        <v>84</v>
      </c>
      <c r="I1" t="s">
        <v>88</v>
      </c>
      <c r="J1" t="s">
        <v>92</v>
      </c>
      <c r="K1" t="s">
        <v>155</v>
      </c>
      <c r="L1" t="s">
        <v>97</v>
      </c>
      <c r="M1" t="s">
        <v>85</v>
      </c>
      <c r="N1" t="s">
        <v>89</v>
      </c>
      <c r="O1" t="s">
        <v>93</v>
      </c>
      <c r="P1" t="s">
        <v>156</v>
      </c>
      <c r="Q1" t="s">
        <v>98</v>
      </c>
      <c r="R1" t="s">
        <v>86</v>
      </c>
      <c r="S1" t="s">
        <v>90</v>
      </c>
      <c r="T1" t="s">
        <v>94</v>
      </c>
      <c r="U1" t="s">
        <v>157</v>
      </c>
      <c r="V1" t="s">
        <v>99</v>
      </c>
      <c r="W1" t="s">
        <v>87</v>
      </c>
      <c r="X1" t="s">
        <v>91</v>
      </c>
      <c r="Y1" t="s">
        <v>95</v>
      </c>
    </row>
    <row r="2" spans="1:25">
      <c r="A2" t="s">
        <v>102</v>
      </c>
      <c r="B2" t="s">
        <v>13</v>
      </c>
      <c r="C2" t="b">
        <v>0</v>
      </c>
      <c r="E2" t="s">
        <v>108</v>
      </c>
      <c r="F2" t="s">
        <v>159</v>
      </c>
      <c r="G2" t="s">
        <v>71</v>
      </c>
      <c r="H2">
        <v>5</v>
      </c>
      <c r="I2">
        <v>5</v>
      </c>
      <c r="J2">
        <v>1</v>
      </c>
      <c r="K2" t="s">
        <v>159</v>
      </c>
      <c r="L2" t="s">
        <v>119</v>
      </c>
      <c r="M2">
        <v>1</v>
      </c>
      <c r="N2">
        <v>1</v>
      </c>
      <c r="O2">
        <v>0.2</v>
      </c>
    </row>
    <row r="3" spans="1:25">
      <c r="A3" t="s">
        <v>101</v>
      </c>
      <c r="B3" t="s">
        <v>13</v>
      </c>
      <c r="C3" t="b">
        <v>0</v>
      </c>
      <c r="E3" t="s">
        <v>106</v>
      </c>
      <c r="J3">
        <v>1</v>
      </c>
      <c r="O3">
        <v>1</v>
      </c>
    </row>
    <row r="4" spans="1:25">
      <c r="A4" t="s">
        <v>49</v>
      </c>
      <c r="C4" t="b">
        <v>0</v>
      </c>
      <c r="D4" t="s">
        <v>173</v>
      </c>
      <c r="E4" t="s">
        <v>237</v>
      </c>
      <c r="F4" t="s">
        <v>159</v>
      </c>
      <c r="G4" t="s">
        <v>66</v>
      </c>
      <c r="H4">
        <v>5</v>
      </c>
      <c r="I4">
        <v>10</v>
      </c>
      <c r="J4">
        <v>1</v>
      </c>
      <c r="K4" t="s">
        <v>159</v>
      </c>
      <c r="L4" t="s">
        <v>232</v>
      </c>
      <c r="M4">
        <v>5</v>
      </c>
      <c r="N4">
        <v>10</v>
      </c>
      <c r="O4">
        <v>1</v>
      </c>
    </row>
    <row r="5" spans="1:25">
      <c r="A5" t="s">
        <v>100</v>
      </c>
      <c r="B5" t="s">
        <v>13</v>
      </c>
      <c r="C5" t="b">
        <v>0</v>
      </c>
      <c r="E5" t="s">
        <v>107</v>
      </c>
      <c r="J5">
        <v>1</v>
      </c>
      <c r="O5">
        <v>1</v>
      </c>
    </row>
    <row r="6" spans="1:25">
      <c r="A6" t="s">
        <v>50</v>
      </c>
      <c r="C6" t="b">
        <v>0</v>
      </c>
      <c r="D6" t="s">
        <v>174</v>
      </c>
      <c r="E6" t="s">
        <v>238</v>
      </c>
      <c r="F6" t="s">
        <v>159</v>
      </c>
      <c r="G6" t="s">
        <v>66</v>
      </c>
      <c r="H6">
        <v>4</v>
      </c>
      <c r="I6">
        <v>6</v>
      </c>
      <c r="J6">
        <v>1</v>
      </c>
      <c r="K6" t="s">
        <v>159</v>
      </c>
      <c r="L6" t="s">
        <v>76</v>
      </c>
      <c r="M6">
        <v>1</v>
      </c>
      <c r="N6">
        <v>2</v>
      </c>
      <c r="O6">
        <v>0.15</v>
      </c>
      <c r="U6" t="s">
        <v>159</v>
      </c>
      <c r="V6" t="s">
        <v>224</v>
      </c>
      <c r="W6">
        <v>1</v>
      </c>
      <c r="X6">
        <v>1</v>
      </c>
      <c r="Y6">
        <v>0.05</v>
      </c>
    </row>
    <row r="7" spans="1:25">
      <c r="A7" t="s">
        <v>40</v>
      </c>
      <c r="C7" t="b">
        <v>0</v>
      </c>
      <c r="D7" t="s">
        <v>175</v>
      </c>
      <c r="E7" t="s">
        <v>239</v>
      </c>
      <c r="F7" t="s">
        <v>159</v>
      </c>
      <c r="G7" t="s">
        <v>66</v>
      </c>
      <c r="H7">
        <v>5</v>
      </c>
      <c r="I7">
        <v>10</v>
      </c>
      <c r="J7">
        <v>1</v>
      </c>
      <c r="K7" t="s">
        <v>159</v>
      </c>
      <c r="L7" t="s">
        <v>65</v>
      </c>
      <c r="M7">
        <v>1</v>
      </c>
      <c r="N7">
        <v>1</v>
      </c>
      <c r="O7">
        <v>0.1</v>
      </c>
      <c r="U7" t="s">
        <v>159</v>
      </c>
      <c r="V7" t="s">
        <v>225</v>
      </c>
      <c r="W7">
        <v>1</v>
      </c>
      <c r="X7">
        <v>1</v>
      </c>
      <c r="Y7">
        <v>0.05</v>
      </c>
    </row>
    <row r="8" spans="1:25">
      <c r="A8" t="s">
        <v>52</v>
      </c>
      <c r="C8" t="b">
        <v>0</v>
      </c>
      <c r="D8" t="s">
        <v>198</v>
      </c>
      <c r="E8" t="s">
        <v>240</v>
      </c>
      <c r="F8" t="s">
        <v>159</v>
      </c>
      <c r="G8" t="s">
        <v>66</v>
      </c>
      <c r="H8">
        <v>3</v>
      </c>
      <c r="I8">
        <v>5</v>
      </c>
      <c r="J8">
        <v>1</v>
      </c>
      <c r="K8" t="s">
        <v>159</v>
      </c>
      <c r="L8" t="s">
        <v>79</v>
      </c>
      <c r="M8">
        <v>1</v>
      </c>
      <c r="N8">
        <v>1</v>
      </c>
      <c r="O8">
        <v>0.05</v>
      </c>
      <c r="P8" t="s">
        <v>159</v>
      </c>
      <c r="Q8" t="s">
        <v>80</v>
      </c>
      <c r="R8">
        <v>1</v>
      </c>
      <c r="S8">
        <v>1</v>
      </c>
      <c r="T8">
        <v>0.05</v>
      </c>
      <c r="U8" t="s">
        <v>159</v>
      </c>
      <c r="V8" t="s">
        <v>226</v>
      </c>
      <c r="W8">
        <v>1</v>
      </c>
      <c r="X8">
        <v>1</v>
      </c>
      <c r="Y8">
        <v>0.05</v>
      </c>
    </row>
    <row r="9" spans="1:25">
      <c r="A9" t="s">
        <v>51</v>
      </c>
      <c r="C9" t="b">
        <v>0</v>
      </c>
      <c r="D9" t="s">
        <v>176</v>
      </c>
      <c r="E9" t="s">
        <v>241</v>
      </c>
      <c r="F9" t="s">
        <v>159</v>
      </c>
      <c r="G9" t="s">
        <v>66</v>
      </c>
      <c r="H9">
        <v>4</v>
      </c>
      <c r="I9">
        <v>6</v>
      </c>
      <c r="J9">
        <v>1</v>
      </c>
      <c r="K9" t="s">
        <v>159</v>
      </c>
      <c r="L9" t="s">
        <v>78</v>
      </c>
      <c r="M9">
        <v>2</v>
      </c>
      <c r="N9">
        <v>12</v>
      </c>
      <c r="O9">
        <v>1</v>
      </c>
      <c r="U9" t="s">
        <v>159</v>
      </c>
      <c r="V9" t="s">
        <v>227</v>
      </c>
      <c r="W9">
        <v>1</v>
      </c>
      <c r="X9">
        <v>1</v>
      </c>
      <c r="Y9">
        <v>0.05</v>
      </c>
    </row>
    <row r="10" spans="1:25">
      <c r="A10" t="s">
        <v>105</v>
      </c>
      <c r="B10" t="s">
        <v>13</v>
      </c>
      <c r="C10" t="b">
        <v>1</v>
      </c>
      <c r="E10" t="s">
        <v>111</v>
      </c>
      <c r="F10" t="s">
        <v>159</v>
      </c>
      <c r="G10" t="s">
        <v>71</v>
      </c>
      <c r="H10">
        <v>3</v>
      </c>
      <c r="I10">
        <v>3</v>
      </c>
      <c r="J10">
        <v>1</v>
      </c>
      <c r="K10" t="s">
        <v>159</v>
      </c>
      <c r="L10" t="s">
        <v>72</v>
      </c>
      <c r="M10">
        <v>2</v>
      </c>
      <c r="N10">
        <v>2</v>
      </c>
      <c r="O10">
        <v>1</v>
      </c>
      <c r="P10" t="s">
        <v>159</v>
      </c>
      <c r="Q10" t="s">
        <v>119</v>
      </c>
      <c r="R10">
        <v>1</v>
      </c>
      <c r="S10">
        <v>1</v>
      </c>
      <c r="T10">
        <v>0.05</v>
      </c>
      <c r="U10" t="s">
        <v>159</v>
      </c>
    </row>
    <row r="11" spans="1:25">
      <c r="A11" t="s">
        <v>103</v>
      </c>
      <c r="B11" t="s">
        <v>13</v>
      </c>
      <c r="C11" t="b">
        <v>1</v>
      </c>
      <c r="E11" t="s">
        <v>109</v>
      </c>
      <c r="F11" t="s">
        <v>159</v>
      </c>
      <c r="G11" t="s">
        <v>67</v>
      </c>
      <c r="H11">
        <v>10</v>
      </c>
      <c r="I11">
        <v>10</v>
      </c>
      <c r="J11">
        <v>1</v>
      </c>
      <c r="K11" t="s">
        <v>159</v>
      </c>
      <c r="L11" t="s">
        <v>68</v>
      </c>
      <c r="M11">
        <v>4</v>
      </c>
      <c r="N11">
        <v>4</v>
      </c>
      <c r="O11">
        <v>1</v>
      </c>
      <c r="P11" t="s">
        <v>159</v>
      </c>
      <c r="Q11" t="s">
        <v>120</v>
      </c>
      <c r="R11">
        <v>1</v>
      </c>
      <c r="S11">
        <v>1</v>
      </c>
      <c r="T11">
        <v>0.05</v>
      </c>
      <c r="U11" t="s">
        <v>159</v>
      </c>
    </row>
    <row r="12" spans="1:25">
      <c r="A12" t="s">
        <v>104</v>
      </c>
      <c r="B12" t="s">
        <v>13</v>
      </c>
      <c r="C12" t="b">
        <v>1</v>
      </c>
      <c r="E12" t="s">
        <v>110</v>
      </c>
      <c r="F12" t="s">
        <v>159</v>
      </c>
      <c r="G12" t="s">
        <v>69</v>
      </c>
      <c r="H12">
        <v>5</v>
      </c>
      <c r="I12">
        <v>5</v>
      </c>
      <c r="J12">
        <v>1</v>
      </c>
      <c r="K12" t="s">
        <v>159</v>
      </c>
      <c r="L12" t="s">
        <v>70</v>
      </c>
      <c r="M12">
        <v>2</v>
      </c>
      <c r="N12">
        <v>2</v>
      </c>
      <c r="O12">
        <v>1</v>
      </c>
      <c r="P12" t="s">
        <v>159</v>
      </c>
      <c r="Q12" t="s">
        <v>118</v>
      </c>
      <c r="R12">
        <v>1</v>
      </c>
      <c r="S12">
        <v>1</v>
      </c>
      <c r="T12">
        <v>0.05</v>
      </c>
      <c r="U12" t="s">
        <v>159</v>
      </c>
    </row>
    <row r="13" spans="1:25">
      <c r="A13" t="s">
        <v>233</v>
      </c>
      <c r="C13" t="b">
        <v>1</v>
      </c>
      <c r="D13" t="s">
        <v>234</v>
      </c>
      <c r="E13" t="s">
        <v>235</v>
      </c>
      <c r="F13" t="s">
        <v>159</v>
      </c>
      <c r="G13" t="s">
        <v>232</v>
      </c>
      <c r="H13">
        <v>5</v>
      </c>
      <c r="I13">
        <v>10</v>
      </c>
      <c r="J13">
        <v>1</v>
      </c>
      <c r="K13" t="s">
        <v>159</v>
      </c>
      <c r="L13" t="s">
        <v>73</v>
      </c>
      <c r="M13">
        <v>5</v>
      </c>
      <c r="N13">
        <v>8</v>
      </c>
      <c r="O13">
        <v>1</v>
      </c>
      <c r="U13" t="s">
        <v>159</v>
      </c>
      <c r="V13" t="s">
        <v>223</v>
      </c>
      <c r="W13">
        <v>1</v>
      </c>
      <c r="X13">
        <v>1</v>
      </c>
      <c r="Y13">
        <v>0.05</v>
      </c>
    </row>
    <row r="14" spans="1:25">
      <c r="A14" t="s">
        <v>160</v>
      </c>
      <c r="C14" t="b">
        <v>1</v>
      </c>
      <c r="D14" t="s">
        <v>177</v>
      </c>
      <c r="E14" t="s">
        <v>236</v>
      </c>
      <c r="F14" t="s">
        <v>159</v>
      </c>
      <c r="G14" t="s">
        <v>66</v>
      </c>
      <c r="H14">
        <v>8</v>
      </c>
      <c r="I14">
        <v>8</v>
      </c>
      <c r="J14">
        <v>1</v>
      </c>
      <c r="K14" t="s">
        <v>159</v>
      </c>
      <c r="L14" t="s">
        <v>76</v>
      </c>
      <c r="M14">
        <v>10</v>
      </c>
      <c r="N14">
        <v>10</v>
      </c>
      <c r="O14">
        <v>1</v>
      </c>
      <c r="U14" t="s">
        <v>159</v>
      </c>
      <c r="V14" t="s">
        <v>224</v>
      </c>
      <c r="W14">
        <v>1</v>
      </c>
      <c r="X14">
        <v>1</v>
      </c>
      <c r="Y14">
        <v>0.05</v>
      </c>
    </row>
    <row r="15" spans="1:25">
      <c r="A15" t="s">
        <v>46</v>
      </c>
      <c r="C15" t="b">
        <v>1</v>
      </c>
      <c r="D15" t="s">
        <v>178</v>
      </c>
      <c r="E15" t="s">
        <v>242</v>
      </c>
      <c r="F15" t="s">
        <v>159</v>
      </c>
      <c r="G15" t="s">
        <v>66</v>
      </c>
      <c r="H15">
        <v>4</v>
      </c>
      <c r="I15">
        <v>8</v>
      </c>
      <c r="J15">
        <v>1</v>
      </c>
      <c r="K15" t="s">
        <v>159</v>
      </c>
      <c r="L15" t="s">
        <v>65</v>
      </c>
      <c r="M15">
        <v>1</v>
      </c>
      <c r="N15">
        <v>13</v>
      </c>
      <c r="O15">
        <v>0.4</v>
      </c>
      <c r="U15" t="s">
        <v>159</v>
      </c>
      <c r="V15" t="s">
        <v>225</v>
      </c>
      <c r="W15">
        <v>1</v>
      </c>
      <c r="X15">
        <v>1</v>
      </c>
      <c r="Y15">
        <v>0.05</v>
      </c>
    </row>
    <row r="16" spans="1:25">
      <c r="A16" t="s">
        <v>161</v>
      </c>
      <c r="C16" t="b">
        <v>1</v>
      </c>
      <c r="D16" t="s">
        <v>197</v>
      </c>
      <c r="E16" t="s">
        <v>243</v>
      </c>
      <c r="U16" t="s">
        <v>159</v>
      </c>
      <c r="V16" t="s">
        <v>226</v>
      </c>
      <c r="W16">
        <v>1</v>
      </c>
      <c r="X16">
        <v>1</v>
      </c>
      <c r="Y16">
        <v>0.05</v>
      </c>
    </row>
    <row r="17" spans="1:25">
      <c r="A17" t="s">
        <v>162</v>
      </c>
      <c r="C17" t="b">
        <v>1</v>
      </c>
      <c r="D17" t="s">
        <v>179</v>
      </c>
      <c r="E17" t="s">
        <v>244</v>
      </c>
      <c r="F17" t="s">
        <v>159</v>
      </c>
      <c r="G17" t="s">
        <v>66</v>
      </c>
      <c r="H17">
        <v>4</v>
      </c>
      <c r="I17">
        <v>6</v>
      </c>
      <c r="J17">
        <v>1</v>
      </c>
      <c r="K17" t="s">
        <v>159</v>
      </c>
      <c r="L17" t="s">
        <v>78</v>
      </c>
      <c r="M17">
        <v>35</v>
      </c>
      <c r="N17">
        <v>75</v>
      </c>
      <c r="O17">
        <v>1</v>
      </c>
      <c r="P17" t="s">
        <v>159</v>
      </c>
      <c r="Q17" t="s">
        <v>167</v>
      </c>
      <c r="R17">
        <v>3</v>
      </c>
      <c r="S17">
        <v>8</v>
      </c>
      <c r="T17">
        <v>0.5</v>
      </c>
      <c r="U17" t="s">
        <v>159</v>
      </c>
      <c r="V17" t="s">
        <v>227</v>
      </c>
      <c r="W17">
        <v>1</v>
      </c>
      <c r="X17">
        <v>1</v>
      </c>
      <c r="Y17">
        <v>0.05</v>
      </c>
    </row>
    <row r="18" spans="1:25">
      <c r="A18" t="s">
        <v>166</v>
      </c>
      <c r="C18" t="b">
        <v>1</v>
      </c>
      <c r="D18" t="s">
        <v>180</v>
      </c>
      <c r="E18" t="s">
        <v>228</v>
      </c>
      <c r="F18" t="s">
        <v>158</v>
      </c>
      <c r="G18" t="s">
        <v>77</v>
      </c>
      <c r="H18">
        <v>2000</v>
      </c>
      <c r="I18">
        <v>2000</v>
      </c>
      <c r="J18">
        <v>1</v>
      </c>
      <c r="K18" t="s">
        <v>159</v>
      </c>
      <c r="L18" t="s">
        <v>76</v>
      </c>
      <c r="M18">
        <v>12</v>
      </c>
      <c r="N18">
        <v>12</v>
      </c>
      <c r="O18">
        <v>1</v>
      </c>
    </row>
    <row r="19" spans="1:25">
      <c r="A19" t="s">
        <v>163</v>
      </c>
      <c r="B19" t="s">
        <v>13</v>
      </c>
      <c r="C19" t="b">
        <v>1</v>
      </c>
      <c r="D19" t="s">
        <v>196</v>
      </c>
      <c r="E19" t="s">
        <v>229</v>
      </c>
    </row>
    <row r="20" spans="1:25">
      <c r="A20" t="s">
        <v>165</v>
      </c>
      <c r="B20" t="s">
        <v>13</v>
      </c>
      <c r="C20" t="b">
        <v>1</v>
      </c>
      <c r="D20" t="s">
        <v>195</v>
      </c>
      <c r="E20" t="s">
        <v>230</v>
      </c>
    </row>
    <row r="21" spans="1:25">
      <c r="A21" t="s">
        <v>164</v>
      </c>
      <c r="C21" t="b">
        <v>1</v>
      </c>
      <c r="D21" t="s">
        <v>181</v>
      </c>
      <c r="E21" t="s">
        <v>231</v>
      </c>
      <c r="F21" t="s">
        <v>159</v>
      </c>
      <c r="G21" t="s">
        <v>66</v>
      </c>
      <c r="H21">
        <v>5</v>
      </c>
      <c r="I21">
        <v>5</v>
      </c>
      <c r="J21">
        <v>1</v>
      </c>
      <c r="K21" t="s">
        <v>158</v>
      </c>
      <c r="L21" t="s">
        <v>168</v>
      </c>
      <c r="M21">
        <v>20</v>
      </c>
      <c r="N21">
        <v>20</v>
      </c>
      <c r="O21">
        <v>1</v>
      </c>
      <c r="P21" t="s">
        <v>158</v>
      </c>
      <c r="Q21" t="s">
        <v>169</v>
      </c>
      <c r="R21">
        <v>20</v>
      </c>
      <c r="S21">
        <v>20</v>
      </c>
      <c r="T21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672A5-FC41-4490-AF8C-1F6ADD4F213B}">
  <sheetPr codeName="Sheet3"/>
  <dimension ref="B1:AP122"/>
  <sheetViews>
    <sheetView workbookViewId="0">
      <pane xSplit="3" ySplit="7" topLeftCell="H8" activePane="bottomRight" state="frozen"/>
      <selection pane="topRight" activeCell="C1" sqref="C1"/>
      <selection pane="bottomLeft" activeCell="A5" sqref="A5"/>
      <selection pane="bottomRight" activeCell="P9" sqref="P9"/>
    </sheetView>
    <sheetView tabSelected="1" topLeftCell="J1" zoomScaleNormal="100" workbookViewId="1">
      <selection activeCell="Z13" sqref="Z13"/>
    </sheetView>
  </sheetViews>
  <sheetFormatPr defaultRowHeight="14.25"/>
  <cols>
    <col min="1" max="1" width="3.25" customWidth="1"/>
    <col min="2" max="2" width="11.5" customWidth="1"/>
    <col min="3" max="3" width="23.125" customWidth="1"/>
    <col min="4" max="4" width="6.5" style="2" customWidth="1"/>
    <col min="5" max="5" width="11.5" style="2" customWidth="1"/>
    <col min="6" max="6" width="27.25" style="2" customWidth="1"/>
    <col min="7" max="7" width="44.875" style="2" customWidth="1"/>
    <col min="8" max="8" width="63.625" style="2" customWidth="1"/>
    <col min="9" max="9" width="18.25" style="2" customWidth="1"/>
    <col min="10" max="10" width="10.25" style="2" customWidth="1"/>
    <col min="11" max="11" width="11.125" style="2" customWidth="1"/>
    <col min="12" max="17" width="9.75" style="2" customWidth="1"/>
    <col min="18" max="23" width="13.25" style="2" customWidth="1"/>
    <col min="24" max="32" width="13.125" style="2" customWidth="1"/>
    <col min="33" max="33" width="15.5" style="2" customWidth="1"/>
    <col min="34" max="35" width="9.375" style="2" customWidth="1"/>
    <col min="36" max="36" width="11.25" style="2" customWidth="1"/>
    <col min="37" max="39" width="11.25" customWidth="1"/>
    <col min="40" max="42" width="45.875" customWidth="1"/>
    <col min="44" max="44" width="64" customWidth="1"/>
    <col min="45" max="45" width="27" customWidth="1"/>
  </cols>
  <sheetData>
    <row r="1" spans="2:42" ht="16.5" customHeight="1" thickBot="1"/>
    <row r="2" spans="2:42" ht="16.5" customHeight="1" thickTop="1" thickBot="1">
      <c r="B2" t="s">
        <v>200</v>
      </c>
      <c r="C2" s="17" t="str" cm="1">
        <f t="array" ref="C2">_xlfn.TEXTJOIN("
", TRUE, _xlfn._xlws.FILTER("local " &amp; Table7[Variable''s Name] &amp; " = " &amp; IF(Table7[Advanced?], advRecipeCopy, baseRecipeCopy), ISBLANK(Table7[Unwritten?])))</f>
        <v>local crude_asteroid_chunk_crushing = table.deepcopy(data.raw.recipe["metallic-asteroid-crushing"])
local vulcanus_asteroid_chunk_crushing = table.deepcopy(data.raw.recipe["metallic-asteroid-crushing"])
local nauvis_asteroid_chunk_crushing = table.deepcopy(data.raw.recipe["metallic-asteroid-crushing"])
local gleba_asteroid_chunk_crushing = table.deepcopy(data.raw.recipe["metallic-asteroid-crushing"])
local fulgoran_asteroid_chunk_crushing = table.deepcopy(data.raw.recipe["metallic-asteroid-crushing"])
local aquilo-asteroid-chunk_crushing = table.deepcopy(data.raw.recipe["metallic-asteroid-crushing"])
local  = table.deepcopy(data.raw.recipe["advanced-metallic-asteroid-crushing"])
local  = table.deepcopy(data.raw.recipe["advanced-metallic-asteroid-crushing"])
local  = table.deepcopy(data.raw.recipe["advanced-metallic-asteroid-crushing"])
local vulcanis_asteroid_chunk_crushing_adv = table.deepcopy(data.raw.recipe["advanced-metallic-asteroid-crushing"])
local nauvis_asteroid_chunk_crushing_adv = table.deepcopy(data.raw.recipe["advanced-metallic-asteroid-crushing"])
local gleba_asteroid_chunk_crushing_adv = table.deepcopy(data.raw.recipe["advanced-metallic-asteroid-crushing"])
local fulgoran_asteroid_chunk_crushing_adv = table.deepcopy(data.raw.recipe["advanced-metallic-asteroid-crushing"])
local crude_asteroid_chunk_crushing_adv = table.deepcopy(data.raw.recipe["advanced-metallic-asteroid-crushing"])
local vulcanus_special_crushing = table.deepcopy(data.raw.recipe["advanced-metallic-asteroid-crushing"])
local fulgoran_special_crushing = table.deepcopy(data.raw.recipe["advanced-metallic-asteroid-crushing"])</v>
      </c>
      <c r="P2" s="2" t="str" cm="1">
        <f t="array" ref="P2">INDEX(Table8[name], MATCH(Recipies!C9, Table8[Recipe], 0) + 0)</f>
        <v>iron-ore</v>
      </c>
    </row>
    <row r="3" spans="2:42" ht="16.5" customHeight="1" thickTop="1" thickBot="1"/>
    <row r="4" spans="2:42" ht="16.5" customHeight="1" thickTop="1" thickBot="1">
      <c r="B4" t="s">
        <v>201</v>
      </c>
      <c r="C4" s="12" t="e" cm="1">
        <f t="array" ref="C4">_xlfn.TEXTJOIN("
", TRUE, _xlfn._xlws.FILTER(Table7[Whole String], ISBLANK(Table7[Unwritten?])))</f>
        <v>#REF!</v>
      </c>
      <c r="G4" s="13" t="s">
        <v>193</v>
      </c>
      <c r="M4" s="2" t="s">
        <v>39</v>
      </c>
    </row>
    <row r="5" spans="2:42" ht="16.5" customHeight="1" thickTop="1">
      <c r="G5" s="13" t="s">
        <v>194</v>
      </c>
    </row>
    <row r="6" spans="2:42">
      <c r="J6" s="2" t="s">
        <v>41</v>
      </c>
    </row>
    <row r="7" spans="2:42" s="1" customFormat="1" ht="52.5" customHeight="1">
      <c r="C7" s="1" t="s">
        <v>23</v>
      </c>
      <c r="D7" s="1" t="s">
        <v>53</v>
      </c>
      <c r="E7" s="1" t="s">
        <v>199</v>
      </c>
      <c r="F7" s="1" t="s">
        <v>172</v>
      </c>
      <c r="G7" s="1" t="s">
        <v>30</v>
      </c>
      <c r="H7" s="1" t="s">
        <v>33</v>
      </c>
      <c r="I7" s="1" t="s">
        <v>32</v>
      </c>
      <c r="J7" s="1" t="s">
        <v>37</v>
      </c>
      <c r="K7" s="1" t="s">
        <v>57</v>
      </c>
      <c r="L7" s="1" t="s">
        <v>58</v>
      </c>
      <c r="M7" s="1" t="s">
        <v>59</v>
      </c>
      <c r="N7" s="1" t="s">
        <v>62</v>
      </c>
      <c r="O7" s="1" t="s">
        <v>63</v>
      </c>
      <c r="P7" s="1" t="s">
        <v>154</v>
      </c>
      <c r="Q7" s="1" t="s">
        <v>96</v>
      </c>
      <c r="R7" s="1" t="s">
        <v>84</v>
      </c>
      <c r="S7" s="1" t="s">
        <v>88</v>
      </c>
      <c r="T7" s="1" t="s">
        <v>92</v>
      </c>
      <c r="U7" s="1" t="s">
        <v>155</v>
      </c>
      <c r="V7" s="1" t="s">
        <v>97</v>
      </c>
      <c r="W7" s="1" t="s">
        <v>85</v>
      </c>
      <c r="X7" s="1" t="s">
        <v>89</v>
      </c>
      <c r="Y7" s="1" t="s">
        <v>93</v>
      </c>
      <c r="Z7" s="1" t="s">
        <v>156</v>
      </c>
      <c r="AA7" s="1" t="s">
        <v>98</v>
      </c>
      <c r="AB7" s="1" t="s">
        <v>86</v>
      </c>
      <c r="AC7" s="1" t="s">
        <v>90</v>
      </c>
      <c r="AD7" s="1" t="s">
        <v>94</v>
      </c>
      <c r="AE7" s="1" t="s">
        <v>157</v>
      </c>
      <c r="AF7" s="1" t="s">
        <v>99</v>
      </c>
      <c r="AG7" s="1" t="s">
        <v>87</v>
      </c>
      <c r="AH7" s="1" t="s">
        <v>91</v>
      </c>
      <c r="AI7" s="1" t="s">
        <v>95</v>
      </c>
      <c r="AJ7" s="1" t="s">
        <v>42</v>
      </c>
      <c r="AK7" s="1" t="s">
        <v>43</v>
      </c>
      <c r="AL7" s="1" t="s">
        <v>44</v>
      </c>
      <c r="AM7" s="1" t="s">
        <v>45</v>
      </c>
      <c r="AN7" s="1" t="s">
        <v>61</v>
      </c>
      <c r="AO7" s="1" t="s">
        <v>171</v>
      </c>
      <c r="AP7" s="1" t="s">
        <v>182</v>
      </c>
    </row>
    <row r="8" spans="2:42" ht="18.75" customHeight="1">
      <c r="C8" t="s">
        <v>102</v>
      </c>
      <c r="D8" s="2" t="s">
        <v>13</v>
      </c>
      <c r="E8" s="2" t="b">
        <f>OR(ISNUMBER(SEARCH("Adv", Table7[[#This Row],[Recipe]])), ISNUMBER(SEARCH("Special", Table7[[#This Row],[Recipe]])))</f>
        <v>0</v>
      </c>
      <c r="G8" s="2" t="s">
        <v>108</v>
      </c>
      <c r="H8" s="2" t="s">
        <v>117</v>
      </c>
      <c r="J8" s="2" t="s">
        <v>38</v>
      </c>
      <c r="K8" s="2">
        <v>2</v>
      </c>
      <c r="L8" s="16" t="s">
        <v>119</v>
      </c>
      <c r="M8" s="16"/>
      <c r="N8" s="2">
        <v>1</v>
      </c>
      <c r="P8" s="2" t="str" cm="1">
        <f t="array" ref="P8">INDEX(Table8[type], MATCH(Table7[[#This Row],[Recipe]], Table8[Recipe], 0) + 0)</f>
        <v>item</v>
      </c>
      <c r="Q8" s="2" t="str" cm="1">
        <f t="array" ref="Q8">INDEX(Table8[name], MATCH(Table7[[#This Row],[Recipe]], Table8[Recipe], 0) + 0)</f>
        <v>ice</v>
      </c>
      <c r="R8" s="2" cm="1">
        <f t="array" ref="R8">INDEX(Table8[amount_min], MATCH(Table7[[#This Row],[Recipe]], Table8[Recipe], 0) + 0)</f>
        <v>5</v>
      </c>
      <c r="S8" s="2" cm="1">
        <f t="array" ref="S8">INDEX(Table8[amount_max], MATCH(Table7[[#This Row],[Recipe]], Table8[Recipe], 0) + 0)</f>
        <v>5</v>
      </c>
      <c r="T8" s="2" cm="1">
        <f t="array" ref="T8">INDEX(Table8[P], MATCH(Table7[[#This Row],[Recipe]], Table8[Recipe], 0) + 0)</f>
        <v>1</v>
      </c>
      <c r="U8" s="2" t="str" cm="1">
        <f t="array" ref="U8">INDEX(Table8[type], MATCH(Table7[[#This Row],[Recipe]], Table8[Recipe], 0) + 1)</f>
        <v>item</v>
      </c>
      <c r="V8" s="2" t="str" cm="1">
        <f t="array" ref="V8">INDEX(Table8[name], MATCH(Table7[[#This Row],[Recipe]], Table8[Recipe], 0) + 1)</f>
        <v>oxide-asteroid-chunk</v>
      </c>
      <c r="W8" s="2" cm="1">
        <f t="array" ref="W8">INDEX(Table8[amount_min], MATCH(Table7[[#This Row],[Recipe]], Table8[Recipe], 0) + 1)</f>
        <v>1</v>
      </c>
      <c r="X8" s="2" cm="1">
        <f t="array" ref="X8">INDEX(Table8[amount_max], MATCH(Table7[[#This Row],[Recipe]], Table8[Recipe], 0) + 1)</f>
        <v>1</v>
      </c>
      <c r="Y8" s="2" cm="1">
        <f t="array" ref="Y8">INDEX(Table8[P], MATCH(Table7[[#This Row],[Recipe]], Table8[Recipe], 0) + 1)</f>
        <v>0.2</v>
      </c>
      <c r="Z8" s="2" t="str" cm="1">
        <f t="array" ref="Z8">INDEX(Table8[type], MATCH(Table7[[#This Row],[Recipe]], Table8[Recipe], 0) + 2)</f>
        <v>item</v>
      </c>
      <c r="AA8" s="2" t="str" cm="1">
        <f t="array" ref="AA8">INDEX(Table8[name], MATCH(Table7[[#This Row],[Recipe]], Table8[Recipe], 0) + 2)</f>
        <v>iron-ore</v>
      </c>
      <c r="AB8" s="2" cm="1">
        <f t="array" ref="AB8">INDEX(Table8[amount_min], MATCH(Table7[[#This Row],[Recipe]], Table8[Recipe], 0) + 2)</f>
        <v>20</v>
      </c>
      <c r="AC8" s="2" cm="1">
        <f t="array" ref="AC8">INDEX(Table8[amount_max], MATCH(Table7[[#This Row],[Recipe]], Table8[Recipe], 0) + 2)</f>
        <v>20</v>
      </c>
      <c r="AD8" s="2" cm="1">
        <f t="array" ref="AD8">INDEX(Table8[P], MATCH(Table7[[#This Row],[Recipe]], Table8[Recipe], 0) + 2)</f>
        <v>1</v>
      </c>
      <c r="AE8" s="2" t="str" cm="1">
        <f t="array" ref="AE8">INDEX(Table8[type], MATCH(Table7[[#This Row],[Recipe]], Table8[Recipe], 0) + 3)</f>
        <v>item</v>
      </c>
      <c r="AF8" s="2" t="str" cm="1">
        <f t="array" ref="AF8">INDEX(Table8[name], MATCH(Table7[[#This Row],[Recipe]], Table8[Recipe], 0) + 3)</f>
        <v>astra-crude-asteroid-chunk</v>
      </c>
      <c r="AG8" s="2" cm="1">
        <f t="array" ref="AG8">INDEX(Table8[amount_min], MATCH(Table7[[#This Row],[Recipe]], Table8[Recipe], 0) + 3)</f>
        <v>1</v>
      </c>
      <c r="AH8" s="2" cm="1">
        <f t="array" ref="AH8">INDEX(Table8[amount_max], MATCH(Table7[[#This Row],[Recipe]], Table8[Recipe], 0) + 3)</f>
        <v>1</v>
      </c>
      <c r="AI8" s="2" cm="1">
        <f t="array" ref="AI8">INDEX(Table8[P], MATCH(Table7[[#This Row],[Recipe]], Table8[Recipe], 0) + 3)</f>
        <v>0.2</v>
      </c>
      <c r="AJ8" t="str" cm="1">
        <f t="array" ref="AJ8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"ice", amount_min = 5, amount_max = 5, probability = 1 }</v>
      </c>
      <c r="AK8" t="str" cm="1">
        <f t="array" ref="AK8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"oxide-asteroid-chunk", amount_min = 1, amount_max = 1, probability = 0.2 }</v>
      </c>
      <c r="AL8" t="str" cm="1">
        <f t="array" ref="AL8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"iron-ore", amount_min = 20, amount_max = 20, probability = 1 }</v>
      </c>
      <c r="AM8" t="str" cm="1">
        <f t="array" ref="AM8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"astra-crude-asteroid-chunk", amount_min = 1, amount_max = 1, probability = 0.2 }</v>
      </c>
      <c r="AN8" s="14" t="str" cm="1">
        <f t="array" ref="AN8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"oxide-asteroid-chunk", amount = 1 } }</v>
      </c>
      <c r="AO8" s="14" t="str" cm="1">
        <f t="array" ref="AO8" xml:space="preserve"> "{ 
    " &amp; _xlfn.TEXTJOIN(", 
    ", TRUE, _xlfn._xlws.FILTER(Table7[[#This Row],[Results 1]:[Results 4]], IFERROR(--Table7[[#This Row],[Results 1]:[Results 4]], TRUE))) &amp; " 
}"</f>
        <v>{ 
    { type = "item", name = "ice", amount_min = 5, amount_max = 5, probability = 1 }, 
    { type = "item", name = "oxide-asteroid-chunk", amount_min = 1, amount_max = 1, probability = 0.2 }, 
    { type = "item", name = "iron-ore", amount_min = 20, amount_max = 20, probability = 1 }, 
    { type = "item", name = "astra-crude-asteroid-chunk", amount_min = 1, amount_max = 1, probability = 0.2 } 
}</v>
      </c>
      <c r="AP8" s="15" t="str" cm="1">
        <f t="array" ref="AP8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.name = "oxide-asteroid-crushing"
.icon = "__space-age__\graphics\icons\oxide-asteroid-crushing.png"
.order = 
.enabled = false
.energy_required = 2
.ingredients = { { type = "item", name = "oxide-asteroid-chunk", amount = 1 } }
.results = { 
    { type = "item", name = "ice", amount_min = 5, amount_max = 5, probability = 1 }, 
    { type = "item", name = "oxide-asteroid-chunk", amount_min = 1, amount_max = 1, probability = 0.2 }, 
    { type = "item", name = "iron-ore", amount_min = 20, amount_max = 20, probability = 1 }, 
    { type = "item", name = "astra-crude-asteroid-chunk", amount_min = 1, amount_max = 1, probability = 0.2 } 
}</v>
      </c>
    </row>
    <row r="9" spans="2:42" ht="18.75" customHeight="1">
      <c r="C9" t="s">
        <v>101</v>
      </c>
      <c r="D9" s="2" t="s">
        <v>13</v>
      </c>
      <c r="E9" s="2" t="b">
        <f>OR(ISNUMBER(SEARCH("Adv", Table7[[#This Row],[Recipe]])), ISNUMBER(SEARCH("Special", Table7[[#This Row],[Recipe]])))</f>
        <v>0</v>
      </c>
      <c r="G9" s="2" t="s">
        <v>106</v>
      </c>
      <c r="H9" s="2" t="s">
        <v>116</v>
      </c>
      <c r="J9" s="2" t="s">
        <v>38</v>
      </c>
      <c r="K9" s="2">
        <v>2</v>
      </c>
      <c r="L9" s="16" t="s">
        <v>60</v>
      </c>
      <c r="M9" s="16"/>
      <c r="N9" s="2">
        <v>1</v>
      </c>
      <c r="P9" s="2" t="str" cm="1">
        <f t="array" ref="P9">INDEX(Table8[type], MATCH(Table7[[#This Row],[Recipe]], Table8[Recipe], 0) + 0)</f>
        <v>item</v>
      </c>
      <c r="Q9" s="2" t="str" cm="1">
        <f t="array" ref="Q9">INDEX(Table8[name], MATCH(Table7[[#This Row],[Recipe]], Table8[Recipe], 0) + 0)</f>
        <v>iron-ore</v>
      </c>
      <c r="R9" s="2" cm="1">
        <f t="array" ref="R9">INDEX(Table8[amount_min], MATCH(Table7[[#This Row],[Recipe]], Table8[Recipe], 0) + 0)</f>
        <v>20</v>
      </c>
      <c r="S9" s="2" cm="1">
        <f t="array" ref="S9">INDEX(Table8[amount_max], MATCH(Table7[[#This Row],[Recipe]], Table8[Recipe], 0) + 0)</f>
        <v>20</v>
      </c>
      <c r="T9" s="2" cm="1">
        <f t="array" ref="T9">INDEX(Table8[P], MATCH(Table7[[#This Row],[Recipe]], Table8[Recipe], 0) + 0)</f>
        <v>1</v>
      </c>
      <c r="U9" s="2" t="str" cm="1">
        <f t="array" ref="U9">INDEX(Table8[type], MATCH(Table7[[#This Row],[Recipe]], Table8[Recipe], 0) + 1)</f>
        <v>item</v>
      </c>
      <c r="V9" s="2" t="str" cm="1">
        <f t="array" ref="V9">INDEX(Table8[name], MATCH(Table7[[#This Row],[Recipe]], Table8[Recipe], 0) + 1)</f>
        <v>astra-crude-asteroid-chunk</v>
      </c>
      <c r="W9" s="2" cm="1">
        <f t="array" ref="W9">INDEX(Table8[amount_min], MATCH(Table7[[#This Row],[Recipe]], Table8[Recipe], 0) + 1)</f>
        <v>1</v>
      </c>
      <c r="X9" s="2" cm="1">
        <f t="array" ref="X9">INDEX(Table8[amount_max], MATCH(Table7[[#This Row],[Recipe]], Table8[Recipe], 0) + 1)</f>
        <v>1</v>
      </c>
      <c r="Y9" s="2" cm="1">
        <f t="array" ref="Y9">INDEX(Table8[P], MATCH(Table7[[#This Row],[Recipe]], Table8[Recipe], 0) + 1)</f>
        <v>0.2</v>
      </c>
      <c r="Z9" s="2" t="str" cm="1">
        <f t="array" ref="Z9">INDEX(Table8[type], MATCH(Table7[[#This Row],[Recipe]], Table8[Recipe], 0) + 2)</f>
        <v>item</v>
      </c>
      <c r="AA9" s="2" t="str" cm="1">
        <f t="array" ref="AA9">INDEX(Table8[name], MATCH(Table7[[#This Row],[Recipe]], Table8[Recipe], 0) + 2)</f>
        <v>astra-oilstone</v>
      </c>
      <c r="AB9" s="2" cm="1">
        <f t="array" ref="AB9">INDEX(Table8[amount_min], MATCH(Table7[[#This Row],[Recipe]], Table8[Recipe], 0) + 2)</f>
        <v>4</v>
      </c>
      <c r="AC9" s="2" cm="1">
        <f t="array" ref="AC9">INDEX(Table8[amount_max], MATCH(Table7[[#This Row],[Recipe]], Table8[Recipe], 0) + 2)</f>
        <v>5</v>
      </c>
      <c r="AD9" s="2" cm="1">
        <f t="array" ref="AD9">INDEX(Table8[P], MATCH(Table7[[#This Row],[Recipe]], Table8[Recipe], 0) + 2)</f>
        <v>1</v>
      </c>
      <c r="AE9" s="2" t="str" cm="1">
        <f t="array" ref="AE9">INDEX(Table8[type], MATCH(Table7[[#This Row],[Recipe]], Table8[Recipe], 0) + 3)</f>
        <v>item</v>
      </c>
      <c r="AF9" s="2" t="str" cm="1">
        <f t="array" ref="AF9">INDEX(Table8[name], MATCH(Table7[[#This Row],[Recipe]], Table8[Recipe], 0) + 3)</f>
        <v>stone</v>
      </c>
      <c r="AG9" s="2" cm="1">
        <f t="array" ref="AG9">INDEX(Table8[amount_min], MATCH(Table7[[#This Row],[Recipe]], Table8[Recipe], 0) + 3)</f>
        <v>5</v>
      </c>
      <c r="AH9" s="2" cm="1">
        <f t="array" ref="AH9">INDEX(Table8[amount_max], MATCH(Table7[[#This Row],[Recipe]], Table8[Recipe], 0) + 3)</f>
        <v>5</v>
      </c>
      <c r="AI9" s="2" cm="1">
        <f t="array" ref="AI9">INDEX(Table8[P], MATCH(Table7[[#This Row],[Recipe]], Table8[Recipe], 0) + 3)</f>
        <v>1</v>
      </c>
      <c r="AJ9" t="str" cm="1">
        <f t="array" ref="AJ9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"iron-ore", amount_min = 20, amount_max = 20, probability = 1 }</v>
      </c>
      <c r="AK9" t="str" cm="1">
        <f t="array" ref="AK9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"astra-crude-asteroid-chunk", amount_min = 1, amount_max = 1, probability = 0.2 }</v>
      </c>
      <c r="AL9" t="str" cm="1">
        <f t="array" ref="AL9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"astra-oilstone", amount_min = 4, amount_max = 5, probability = 1 }</v>
      </c>
      <c r="AM9" t="str" cm="1">
        <f t="array" ref="AM9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"stone", amount_min = 5, amount_max = 5, probability = 1 }</v>
      </c>
      <c r="AN9" s="14" t="str" cm="1">
        <f t="array" ref="AN9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"metallic-astroid-chunk", amount = 1 } }</v>
      </c>
      <c r="AO9" s="14" t="str" cm="1">
        <f t="array" ref="AO9" xml:space="preserve"> "{ 
    " &amp; _xlfn.TEXTJOIN(", 
    ", TRUE, _xlfn._xlws.FILTER(Table7[[#This Row],[Results 1]:[Results 4]], IFERROR(--Table7[[#This Row],[Results 1]:[Results 4]], TRUE))) &amp; " 
}"</f>
        <v>{ 
    { type = "item", name = "iron-ore", amount_min = 20, amount_max = 20, probability = 1 }, 
    { type = "item", name = "astra-crude-asteroid-chunk", amount_min = 1, amount_max = 1, probability = 0.2 }, 
    { type = "item", name = "astra-oilstone", amount_min = 4, amount_max = 5, probability = 1 }, 
    { type = "item", name = "stone", amount_min = 5, amount_max = 5, probability = 1 } 
}</v>
      </c>
      <c r="AP9" s="15" t="str" cm="1">
        <f t="array" ref="AP9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.name = "metallic-asteroid-crushing"
.icon = "__space-age__\graphics\icons\metallic-asteroid-crushing.png"
.order = 
.enabled = false
.energy_required = 2
.ingredients = { { type = "item", name = "metallic-astroid-chunk", amount = 1 } }
.results = { 
    { type = "item", name = "iron-ore", amount_min = 20, amount_max = 20, probability = 1 }, 
    { type = "item", name = "astra-crude-asteroid-chunk", amount_min = 1, amount_max = 1, probability = 0.2 }, 
    { type = "item", name = "astra-oilstone", amount_min = 4, amount_max = 5, probability = 1 }, 
    { type = "item", name = "stone", amount_min = 5, amount_max = 5, probability = 1 } 
}</v>
      </c>
    </row>
    <row r="10" spans="2:42" ht="18.75" customHeight="1">
      <c r="C10" t="s">
        <v>49</v>
      </c>
      <c r="E10" s="2" t="b">
        <f>OR(ISNUMBER(SEARCH("Adv", Table7[[#This Row],[Recipe]])), ISNUMBER(SEARCH("Special", Table7[[#This Row],[Recipe]])))</f>
        <v>0</v>
      </c>
      <c r="F10" s="2" t="s">
        <v>173</v>
      </c>
      <c r="G10" s="2" t="s">
        <v>237</v>
      </c>
      <c r="H10" s="2" t="s">
        <v>187</v>
      </c>
      <c r="I10" s="2" t="s">
        <v>353</v>
      </c>
      <c r="J10" s="2" t="s">
        <v>38</v>
      </c>
      <c r="K10" s="2">
        <v>2</v>
      </c>
      <c r="L10" s="16" t="s">
        <v>223</v>
      </c>
      <c r="M10" s="16"/>
      <c r="N10" s="2">
        <v>1</v>
      </c>
      <c r="P10" s="2" t="str" cm="1">
        <f t="array" ref="P10">INDEX(Table8[type], MATCH(Table7[[#This Row],[Recipe]], Table8[Recipe], 0) + 0)</f>
        <v>item</v>
      </c>
      <c r="Q10" s="2" t="str" cm="1">
        <f t="array" ref="Q10">INDEX(Table8[name], MATCH(Table7[[#This Row],[Recipe]], Table8[Recipe], 0) + 0)</f>
        <v>astra-crude-asteroid-chunk</v>
      </c>
      <c r="R10" s="2" cm="1">
        <f t="array" ref="R10">INDEX(Table8[amount_min], MATCH(Table7[[#This Row],[Recipe]], Table8[Recipe], 0) + 0)</f>
        <v>1</v>
      </c>
      <c r="S10" s="2" cm="1">
        <f t="array" ref="S10">INDEX(Table8[amount_max], MATCH(Table7[[#This Row],[Recipe]], Table8[Recipe], 0) + 0)</f>
        <v>1</v>
      </c>
      <c r="T10" s="2" cm="1">
        <f t="array" ref="T10">INDEX(Table8[P], MATCH(Table7[[#This Row],[Recipe]], Table8[Recipe], 0) + 0)</f>
        <v>0.2</v>
      </c>
      <c r="U10" s="2" t="str" cm="1">
        <f t="array" ref="U10">INDEX(Table8[type], MATCH(Table7[[#This Row],[Recipe]], Table8[Recipe], 0) + 1)</f>
        <v>item</v>
      </c>
      <c r="V10" s="2" t="str" cm="1">
        <f t="array" ref="V10">INDEX(Table8[name], MATCH(Table7[[#This Row],[Recipe]], Table8[Recipe], 0) + 1)</f>
        <v>astra-oilstone</v>
      </c>
      <c r="W10" s="2" cm="1">
        <f t="array" ref="W10">INDEX(Table8[amount_min], MATCH(Table7[[#This Row],[Recipe]], Table8[Recipe], 0) + 1)</f>
        <v>4</v>
      </c>
      <c r="X10" s="2" cm="1">
        <f t="array" ref="X10">INDEX(Table8[amount_max], MATCH(Table7[[#This Row],[Recipe]], Table8[Recipe], 0) + 1)</f>
        <v>5</v>
      </c>
      <c r="Y10" s="2" cm="1">
        <f t="array" ref="Y10">INDEX(Table8[P], MATCH(Table7[[#This Row],[Recipe]], Table8[Recipe], 0) + 1)</f>
        <v>1</v>
      </c>
      <c r="Z10" s="2" t="str" cm="1">
        <f t="array" ref="Z10">INDEX(Table8[type], MATCH(Table7[[#This Row],[Recipe]], Table8[Recipe], 0) + 2)</f>
        <v>item</v>
      </c>
      <c r="AA10" s="2" t="str" cm="1">
        <f t="array" ref="AA10">INDEX(Table8[name], MATCH(Table7[[#This Row],[Recipe]], Table8[Recipe], 0) + 2)</f>
        <v>stone</v>
      </c>
      <c r="AB10" s="2" cm="1">
        <f t="array" ref="AB10">INDEX(Table8[amount_min], MATCH(Table7[[#This Row],[Recipe]], Table8[Recipe], 0) + 2)</f>
        <v>5</v>
      </c>
      <c r="AC10" s="2" cm="1">
        <f t="array" ref="AC10">INDEX(Table8[amount_max], MATCH(Table7[[#This Row],[Recipe]], Table8[Recipe], 0) + 2)</f>
        <v>5</v>
      </c>
      <c r="AD10" s="2" cm="1">
        <f t="array" ref="AD10">INDEX(Table8[P], MATCH(Table7[[#This Row],[Recipe]], Table8[Recipe], 0) + 2)</f>
        <v>1</v>
      </c>
      <c r="AE10" s="2" t="str" cm="1">
        <f t="array" ref="AE10">INDEX(Table8[type], MATCH(Table7[[#This Row],[Recipe]], Table8[Recipe], 0) + 3)</f>
        <v>item</v>
      </c>
      <c r="AF10" s="2" t="str" cm="1">
        <f t="array" ref="AF10">INDEX(Table8[name], MATCH(Table7[[#This Row],[Recipe]], Table8[Recipe], 0) + 3)</f>
        <v>carbon</v>
      </c>
      <c r="AG10" s="2" cm="1">
        <f t="array" ref="AG10">INDEX(Table8[amount_min], MATCH(Table7[[#This Row],[Recipe]], Table8[Recipe], 0) + 3)</f>
        <v>10</v>
      </c>
      <c r="AH10" s="2" cm="1">
        <f t="array" ref="AH10">INDEX(Table8[amount_max], MATCH(Table7[[#This Row],[Recipe]], Table8[Recipe], 0) + 3)</f>
        <v>10</v>
      </c>
      <c r="AI10" s="2" cm="1">
        <f t="array" ref="AI10">INDEX(Table8[P], MATCH(Table7[[#This Row],[Recipe]], Table8[Recipe], 0) + 3)</f>
        <v>1</v>
      </c>
      <c r="AJ10" t="str" cm="1">
        <f t="array" ref="AJ10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"astra-crude-asteroid-chunk", amount_min = 1, amount_max = 1, probability = 0.2 }</v>
      </c>
      <c r="AK10" t="str" cm="1">
        <f t="array" ref="AK10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"astra-oilstone", amount_min = 4, amount_max = 5, probability = 1 }</v>
      </c>
      <c r="AL10" t="str" cm="1">
        <f t="array" ref="AL10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"stone", amount_min = 5, amount_max = 5, probability = 1 }</v>
      </c>
      <c r="AM10" t="str" cm="1">
        <f t="array" ref="AM10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"carbon", amount_min = 10, amount_max = 10, probability = 1 }</v>
      </c>
      <c r="AN10" s="14" t="str" cm="1">
        <f t="array" ref="AN10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"astra-crude-asteroid-chunk", amount = 1 } }</v>
      </c>
      <c r="AO10" s="14" t="str" cm="1">
        <f t="array" ref="AO10" xml:space="preserve"> "{ 
    " &amp; _xlfn.TEXTJOIN(", 
    ", TRUE, _xlfn._xlws.FILTER(Table7[[#This Row],[Results 1]:[Results 4]], IFERROR(--Table7[[#This Row],[Results 1]:[Results 4]], TRUE))) &amp; " 
}"</f>
        <v>{ 
    { type = "item", name = "astra-crude-asteroid-chunk", amount_min = 1, amount_max = 1, probability = 0.2 }, 
    { type = "item", name = "astra-oilstone", amount_min = 4, amount_max = 5, probability = 1 }, 
    { type = "item", name = "stone", amount_min = 5, amount_max = 5, probability = 1 }, 
    { type = "item", name = "carbon", amount_min = 10, amount_max = 10, probability = 1 } 
}</v>
      </c>
      <c r="AP10" s="15" t="str" cm="1">
        <f t="array" ref="AP10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crude_asteroid_chunk_crushing.name = "astra-crude-asteroid-crushing"
crude_asteroid_chunk_crushing.icon = "__Astra-Asteroids__/graphics/crude_crushing_basic.png"
crude_asteroid_chunk_crushing.order = "g[crude].a[basic]"
crude_asteroid_chunk_crushing.enabled = false
crude_asteroid_chunk_crushing.energy_required = 2
crude_asteroid_chunk_crushing.ingredients = { { type = "item", name = "astra-crude-asteroid-chunk", amount = 1 } }
crude_asteroid_chunk_crushing.results = { 
    { type = "item", name = "astra-crude-asteroid-chunk", amount_min = 1, amount_max = 1, probability = 0.2 }, 
    { type = "item", name = "astra-oilstone", amount_min = 4, amount_max = 5, probability = 1 }, 
    { type = "item", name = "stone", amount_min = 5, amount_max = 5, probability = 1 }, 
    { type = "item", name = "carbon", amount_min = 10, amount_max = 10, probability = 1 } 
}</v>
      </c>
    </row>
    <row r="11" spans="2:42" ht="18.75" customHeight="1">
      <c r="C11" t="s">
        <v>100</v>
      </c>
      <c r="D11" s="2" t="s">
        <v>13</v>
      </c>
      <c r="E11" s="2" t="b">
        <f>OR(ISNUMBER(SEARCH("Adv", Table7[[#This Row],[Recipe]])), ISNUMBER(SEARCH("Special", Table7[[#This Row],[Recipe]])))</f>
        <v>0</v>
      </c>
      <c r="G11" s="2" t="s">
        <v>107</v>
      </c>
      <c r="H11" s="2" t="s">
        <v>115</v>
      </c>
      <c r="J11" s="2" t="s">
        <v>38</v>
      </c>
      <c r="K11" s="2">
        <v>2</v>
      </c>
      <c r="L11" s="16" t="s">
        <v>118</v>
      </c>
      <c r="M11" s="16"/>
      <c r="N11" s="2">
        <v>1</v>
      </c>
      <c r="P11" s="2" t="str" cm="1">
        <f t="array" ref="P11">INDEX(Table8[type], MATCH(Table7[[#This Row],[Recipe]], Table8[Recipe], 0) + 0)</f>
        <v>item</v>
      </c>
      <c r="Q11" s="2" t="str" cm="1">
        <f t="array" ref="Q11">INDEX(Table8[name], MATCH(Table7[[#This Row],[Recipe]], Table8[Recipe], 0) + 0)</f>
        <v>carbon</v>
      </c>
      <c r="R11" s="2" cm="1">
        <f t="array" ref="R11">INDEX(Table8[amount_min], MATCH(Table7[[#This Row],[Recipe]], Table8[Recipe], 0) + 0)</f>
        <v>10</v>
      </c>
      <c r="S11" s="2" cm="1">
        <f t="array" ref="S11">INDEX(Table8[amount_max], MATCH(Table7[[#This Row],[Recipe]], Table8[Recipe], 0) + 0)</f>
        <v>10</v>
      </c>
      <c r="T11" s="2" cm="1">
        <f t="array" ref="T11">INDEX(Table8[P], MATCH(Table7[[#This Row],[Recipe]], Table8[Recipe], 0) + 0)</f>
        <v>1</v>
      </c>
      <c r="U11" s="2" t="str" cm="1">
        <f t="array" ref="U11">INDEX(Table8[type], MATCH(Table7[[#This Row],[Recipe]], Table8[Recipe], 0) + 1)</f>
        <v>item</v>
      </c>
      <c r="V11" s="2" t="str" cm="1">
        <f t="array" ref="V11">INDEX(Table8[name], MATCH(Table7[[#This Row],[Recipe]], Table8[Recipe], 0) + 1)</f>
        <v>astra-vulcanic-asteroid-chunk</v>
      </c>
      <c r="W11" s="2" cm="1">
        <f t="array" ref="W11">INDEX(Table8[amount_min], MATCH(Table7[[#This Row],[Recipe]], Table8[Recipe], 0) + 1)</f>
        <v>1</v>
      </c>
      <c r="X11" s="2" cm="1">
        <f t="array" ref="X11">INDEX(Table8[amount_max], MATCH(Table7[[#This Row],[Recipe]], Table8[Recipe], 0) + 1)</f>
        <v>1</v>
      </c>
      <c r="Y11" s="2" cm="1">
        <f t="array" ref="Y11">INDEX(Table8[P], MATCH(Table7[[#This Row],[Recipe]], Table8[Recipe], 0) + 1)</f>
        <v>0.2</v>
      </c>
      <c r="Z11" s="2" t="str" cm="1">
        <f t="array" ref="Z11">INDEX(Table8[type], MATCH(Table7[[#This Row],[Recipe]], Table8[Recipe], 0) + 2)</f>
        <v>item</v>
      </c>
      <c r="AA11" s="2" t="str" cm="1">
        <f t="array" ref="AA11">INDEX(Table8[name], MATCH(Table7[[#This Row],[Recipe]], Table8[Recipe], 0) + 2)</f>
        <v>stone</v>
      </c>
      <c r="AB11" s="2" cm="1">
        <f t="array" ref="AB11">INDEX(Table8[amount_min], MATCH(Table7[[#This Row],[Recipe]], Table8[Recipe], 0) + 2)</f>
        <v>5</v>
      </c>
      <c r="AC11" s="2" cm="1">
        <f t="array" ref="AC11">INDEX(Table8[amount_max], MATCH(Table7[[#This Row],[Recipe]], Table8[Recipe], 0) + 2)</f>
        <v>5</v>
      </c>
      <c r="AD11" s="2" cm="1">
        <f t="array" ref="AD11">INDEX(Table8[P], MATCH(Table7[[#This Row],[Recipe]], Table8[Recipe], 0) + 2)</f>
        <v>1</v>
      </c>
      <c r="AE11" s="2" t="str" cm="1">
        <f t="array" ref="AE11">INDEX(Table8[type], MATCH(Table7[[#This Row],[Recipe]], Table8[Recipe], 0) + 3)</f>
        <v>item</v>
      </c>
      <c r="AF11" s="2" t="str" cm="1">
        <f t="array" ref="AF11">INDEX(Table8[name], MATCH(Table7[[#This Row],[Recipe]], Table8[Recipe], 0) + 3)</f>
        <v>tungsten-ore</v>
      </c>
      <c r="AG11" s="2" cm="1">
        <f t="array" ref="AG11">INDEX(Table8[amount_min], MATCH(Table7[[#This Row],[Recipe]], Table8[Recipe], 0) + 3)</f>
        <v>4</v>
      </c>
      <c r="AH11" s="2" cm="1">
        <f t="array" ref="AH11">INDEX(Table8[amount_max], MATCH(Table7[[#This Row],[Recipe]], Table8[Recipe], 0) + 3)</f>
        <v>5</v>
      </c>
      <c r="AI11" s="2" cm="1">
        <f t="array" ref="AI11">INDEX(Table8[P], MATCH(Table7[[#This Row],[Recipe]], Table8[Recipe], 0) + 3)</f>
        <v>1</v>
      </c>
      <c r="AJ11" t="str" cm="1">
        <f t="array" ref="AJ11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"carbon", amount_min = 10, amount_max = 10, probability = 1 }</v>
      </c>
      <c r="AK11" t="str" cm="1">
        <f t="array" ref="AK11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"astra-vulcanic-asteroid-chunk", amount_min = 1, amount_max = 1, probability = 0.2 }</v>
      </c>
      <c r="AL11" t="str" cm="1">
        <f t="array" ref="AL11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"stone", amount_min = 5, amount_max = 5, probability = 1 }</v>
      </c>
      <c r="AM11" t="str" cm="1">
        <f t="array" ref="AM11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"tungsten-ore", amount_min = 4, amount_max = 5, probability = 1 }</v>
      </c>
      <c r="AN11" s="14" t="str" cm="1">
        <f t="array" ref="AN11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"carbonic-asteroid-chunk", amount = 1 } }</v>
      </c>
      <c r="AO11" s="14" t="str" cm="1">
        <f t="array" ref="AO11" xml:space="preserve"> "{ 
    " &amp; _xlfn.TEXTJOIN(", 
    ", TRUE, _xlfn._xlws.FILTER(Table7[[#This Row],[Results 1]:[Results 4]], IFERROR(--Table7[[#This Row],[Results 1]:[Results 4]], TRUE))) &amp; " 
}"</f>
        <v>{ 
    { type = "item", name = "carbon", amount_min = 10, amount_max = 10, probability = 1 }, 
    { type = "item", name = "astra-vulcanic-asteroid-chunk", amount_min = 1, amount_max = 1, probability = 0.2 }, 
    { type = "item", name = "stone", amount_min = 5, amount_max = 5, probability = 1 }, 
    { type = "item", name = "tungsten-ore", amount_min = 4, amount_max = 5, probability = 1 } 
}</v>
      </c>
      <c r="AP11" s="15" t="str" cm="1">
        <f t="array" ref="AP11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.name = "carbonic-asteroid-crushing"
.icon = "__space-age__\graphics\icons\carbonic-asteroid-crushing.png"
.order = 
.enabled = false
.energy_required = 2
.ingredients = { { type = "item", name = "carbonic-asteroid-chunk", amount = 1 } }
.results = { 
    { type = "item", name = "carbon", amount_min = 10, amount_max = 10, probability = 1 }, 
    { type = "item", name = "astra-vulcanic-asteroid-chunk", amount_min = 1, amount_max = 1, probability = 0.2 }, 
    { type = "item", name = "stone", amount_min = 5, amount_max = 5, probability = 1 }, 
    { type = "item", name = "tungsten-ore", amount_min = 4, amount_max = 5, probability = 1 } 
}</v>
      </c>
    </row>
    <row r="12" spans="2:42" ht="18.75" customHeight="1">
      <c r="C12" t="s">
        <v>50</v>
      </c>
      <c r="E12" s="2" t="b">
        <f>OR(ISNUMBER(SEARCH("Adv", Table7[[#This Row],[Recipe]])), ISNUMBER(SEARCH("Special", Table7[[#This Row],[Recipe]])))</f>
        <v>0</v>
      </c>
      <c r="F12" s="2" t="s">
        <v>174</v>
      </c>
      <c r="G12" s="2" t="s">
        <v>238</v>
      </c>
      <c r="H12" s="2" t="s">
        <v>184</v>
      </c>
      <c r="I12" s="2" t="s">
        <v>354</v>
      </c>
      <c r="J12" s="2" t="s">
        <v>38</v>
      </c>
      <c r="K12" s="2">
        <v>2</v>
      </c>
      <c r="L12" s="16" t="s">
        <v>224</v>
      </c>
      <c r="M12" s="16"/>
      <c r="N12" s="2">
        <v>1</v>
      </c>
      <c r="P12" s="2" t="str" cm="1">
        <f t="array" ref="P12">INDEX(Table8[type], MATCH(Table7[[#This Row],[Recipe]], Table8[Recipe], 0) + 0)</f>
        <v>item</v>
      </c>
      <c r="Q12" s="2" t="str" cm="1">
        <f t="array" ref="Q12">INDEX(Table8[name], MATCH(Table7[[#This Row],[Recipe]], Table8[Recipe], 0) + 0)</f>
        <v>astra-vulcanic-asteroid-chunk</v>
      </c>
      <c r="R12" s="2" cm="1">
        <f t="array" ref="R12">INDEX(Table8[amount_min], MATCH(Table7[[#This Row],[Recipe]], Table8[Recipe], 0) + 0)</f>
        <v>1</v>
      </c>
      <c r="S12" s="2" cm="1">
        <f t="array" ref="S12">INDEX(Table8[amount_max], MATCH(Table7[[#This Row],[Recipe]], Table8[Recipe], 0) + 0)</f>
        <v>1</v>
      </c>
      <c r="T12" s="2" cm="1">
        <f t="array" ref="T12">INDEX(Table8[P], MATCH(Table7[[#This Row],[Recipe]], Table8[Recipe], 0) + 0)</f>
        <v>0.2</v>
      </c>
      <c r="U12" s="2" t="str" cm="1">
        <f t="array" ref="U12">INDEX(Table8[type], MATCH(Table7[[#This Row],[Recipe]], Table8[Recipe], 0) + 1)</f>
        <v>item</v>
      </c>
      <c r="V12" s="2" t="str" cm="1">
        <f t="array" ref="V12">INDEX(Table8[name], MATCH(Table7[[#This Row],[Recipe]], Table8[Recipe], 0) + 1)</f>
        <v>stone</v>
      </c>
      <c r="W12" s="2" cm="1">
        <f t="array" ref="W12">INDEX(Table8[amount_min], MATCH(Table7[[#This Row],[Recipe]], Table8[Recipe], 0) + 1)</f>
        <v>5</v>
      </c>
      <c r="X12" s="2" cm="1">
        <f t="array" ref="X12">INDEX(Table8[amount_max], MATCH(Table7[[#This Row],[Recipe]], Table8[Recipe], 0) + 1)</f>
        <v>5</v>
      </c>
      <c r="Y12" s="2" cm="1">
        <f t="array" ref="Y12">INDEX(Table8[P], MATCH(Table7[[#This Row],[Recipe]], Table8[Recipe], 0) + 1)</f>
        <v>1</v>
      </c>
      <c r="Z12" s="2" t="str" cm="1">
        <f t="array" ref="Z12">INDEX(Table8[type], MATCH(Table7[[#This Row],[Recipe]], Table8[Recipe], 0) + 2)</f>
        <v>item</v>
      </c>
      <c r="AA12" s="2" t="str" cm="1">
        <f t="array" ref="AA12">INDEX(Table8[name], MATCH(Table7[[#This Row],[Recipe]], Table8[Recipe], 0) + 2)</f>
        <v>tungsten-ore</v>
      </c>
      <c r="AB12" s="2" cm="1">
        <f t="array" ref="AB12">INDEX(Table8[amount_min], MATCH(Table7[[#This Row],[Recipe]], Table8[Recipe], 0) + 2)</f>
        <v>4</v>
      </c>
      <c r="AC12" s="2" cm="1">
        <f t="array" ref="AC12">INDEX(Table8[amount_max], MATCH(Table7[[#This Row],[Recipe]], Table8[Recipe], 0) + 2)</f>
        <v>5</v>
      </c>
      <c r="AD12" s="2" cm="1">
        <f t="array" ref="AD12">INDEX(Table8[P], MATCH(Table7[[#This Row],[Recipe]], Table8[Recipe], 0) + 2)</f>
        <v>1</v>
      </c>
      <c r="AE12" s="2" t="str" cm="1">
        <f t="array" ref="AE12">INDEX(Table8[type], MATCH(Table7[[#This Row],[Recipe]], Table8[Recipe], 0) + 3)</f>
        <v>item</v>
      </c>
      <c r="AF12" s="16" t="str" cm="1">
        <f t="array" ref="AF12">INDEX(Table8[name], MATCH(Table7[[#This Row],[Recipe]], Table8[Recipe], 0) + 3)</f>
        <v>astra-nauvis-asteroid-chunk</v>
      </c>
      <c r="AG12" s="2" cm="1">
        <f t="array" ref="AG12">INDEX(Table8[amount_min], MATCH(Table7[[#This Row],[Recipe]], Table8[Recipe], 0) + 3)</f>
        <v>1</v>
      </c>
      <c r="AH12" s="2" cm="1">
        <f t="array" ref="AH12">INDEX(Table8[amount_max], MATCH(Table7[[#This Row],[Recipe]], Table8[Recipe], 0) + 3)</f>
        <v>1</v>
      </c>
      <c r="AI12" s="2" cm="1">
        <f t="array" ref="AI12">INDEX(Table8[P], MATCH(Table7[[#This Row],[Recipe]], Table8[Recipe], 0) + 3)</f>
        <v>0.2</v>
      </c>
      <c r="AJ12" t="str" cm="1">
        <f t="array" ref="AJ12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"astra-vulcanic-asteroid-chunk", amount_min = 1, amount_max = 1, probability = 0.2 }</v>
      </c>
      <c r="AK12" t="str" cm="1">
        <f t="array" ref="AK12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"stone", amount_min = 5, amount_max = 5, probability = 1 }</v>
      </c>
      <c r="AL12" t="str" cm="1">
        <f t="array" ref="AL12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"tungsten-ore", amount_min = 4, amount_max = 5, probability = 1 }</v>
      </c>
      <c r="AM12" t="str" cm="1">
        <f t="array" ref="AM12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"astra-nauvis-asteroid-chunk", amount_min = 1, amount_max = 1, probability = 0.2 }</v>
      </c>
      <c r="AN12" s="14" t="str" cm="1">
        <f t="array" ref="AN12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"astra-vulcanic-asteroid-chunk", amount = 1 } }</v>
      </c>
      <c r="AO12" s="14" t="str" cm="1">
        <f t="array" ref="AO12" xml:space="preserve"> "{ 
    " &amp; _xlfn.TEXTJOIN(", 
    ", TRUE, _xlfn._xlws.FILTER(Table7[[#This Row],[Results 1]:[Results 4]], IFERROR(--Table7[[#This Row],[Results 1]:[Results 4]], TRUE))) &amp; " 
}"</f>
        <v>{ 
    { type = "item", name = "astra-vulcanic-asteroid-chunk", amount_min = 1, amount_max = 1, probability = 0.2 }, 
    { type = "item", name = "stone", amount_min = 5, amount_max = 5, probability = 1 }, 
    { type = "item", name = "tungsten-ore", amount_min = 4, amount_max = 5, probability = 1 }, 
    { type = "item", name = "astra-nauvis-asteroid-chunk", amount_min = 1, amount_max = 1, probability = 0.2 } 
}</v>
      </c>
      <c r="AP12" s="15" t="str" cm="1">
        <f t="array" ref="AP12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vulcanus_asteroid_chunk_crushing.name = "astra-vulcanus-asteroid-crushing"
vulcanus_asteroid_chunk_crushing.icon = "__Astra-Asteroids__/graphics/vulcanus_crushing_basic.png"
vulcanus_asteroid_chunk_crushing.order = "i[vulcanus].a[basic]"
vulcanus_asteroid_chunk_crushing.enabled = false
vulcanus_asteroid_chunk_crushing.energy_required = 2
vulcanus_asteroid_chunk_crushing.ingredients = { { type = "item", name = "astra-vulcanic-asteroid-chunk", amount = 1 } }
vulcanus_asteroid_chunk_crushing.results = { 
    { type = "item", name = "astra-vulcanic-asteroid-chunk", amount_min = 1, amount_max = 1, probability = 0.2 }, 
    { type = "item", name = "stone", amount_min = 5, amount_max = 5, probability = 1 }, 
    { type = "item", name = "tungsten-ore", amount_min = 4, amount_max = 5, probability = 1 }, 
    { type = "item", name = "astra-nauvis-asteroid-chunk", amount_min = 1, amount_max = 1, probability = 0.2 } 
}</v>
      </c>
    </row>
    <row r="13" spans="2:42" ht="18.75" customHeight="1">
      <c r="C13" t="s">
        <v>40</v>
      </c>
      <c r="E13" s="2" t="b">
        <f>OR(ISNUMBER(SEARCH("Adv", Table7[[#This Row],[Recipe]])), ISNUMBER(SEARCH("Special", Table7[[#This Row],[Recipe]])))</f>
        <v>0</v>
      </c>
      <c r="F13" s="2" t="s">
        <v>175</v>
      </c>
      <c r="G13" s="2" t="s">
        <v>239</v>
      </c>
      <c r="H13" s="2" t="s">
        <v>185</v>
      </c>
      <c r="I13" s="2" t="s">
        <v>355</v>
      </c>
      <c r="J13" s="2" t="s">
        <v>38</v>
      </c>
      <c r="K13" s="2">
        <v>2</v>
      </c>
      <c r="L13" s="16" t="s">
        <v>225</v>
      </c>
      <c r="M13" s="16"/>
      <c r="N13" s="2">
        <v>1</v>
      </c>
      <c r="P13" s="2" t="str" cm="1">
        <f t="array" ref="P13">INDEX(Table8[type], MATCH(Table7[[#This Row],[Recipe]], Table8[Recipe], 0) + 0)</f>
        <v>item</v>
      </c>
      <c r="Q13" s="2" t="str" cm="1">
        <f t="array" ref="Q13">INDEX(Table8[name], MATCH(Table7[[#This Row],[Recipe]], Table8[Recipe], 0) + 0)</f>
        <v>astra-nauvis-asteroid-chunk</v>
      </c>
      <c r="R13" s="2" cm="1">
        <f t="array" ref="R13">INDEX(Table8[amount_min], MATCH(Table7[[#This Row],[Recipe]], Table8[Recipe], 0) + 0)</f>
        <v>1</v>
      </c>
      <c r="S13" s="2" cm="1">
        <f t="array" ref="S13">INDEX(Table8[amount_max], MATCH(Table7[[#This Row],[Recipe]], Table8[Recipe], 0) + 0)</f>
        <v>1</v>
      </c>
      <c r="T13" s="2" cm="1">
        <f t="array" ref="T13">INDEX(Table8[P], MATCH(Table7[[#This Row],[Recipe]], Table8[Recipe], 0) + 0)</f>
        <v>0.2</v>
      </c>
      <c r="U13" s="2" t="str" cm="1">
        <f t="array" ref="U13">INDEX(Table8[type], MATCH(Table7[[#This Row],[Recipe]], Table8[Recipe], 0) + 1)</f>
        <v>item</v>
      </c>
      <c r="V13" s="2" t="str" cm="1">
        <f t="array" ref="V13">INDEX(Table8[name], MATCH(Table7[[#This Row],[Recipe]], Table8[Recipe], 0) + 1)</f>
        <v>stone</v>
      </c>
      <c r="W13" s="2" cm="1">
        <f t="array" ref="W13">INDEX(Table8[amount_min], MATCH(Table7[[#This Row],[Recipe]], Table8[Recipe], 0) + 1)</f>
        <v>5</v>
      </c>
      <c r="X13" s="2" cm="1">
        <f t="array" ref="X13">INDEX(Table8[amount_max], MATCH(Table7[[#This Row],[Recipe]], Table8[Recipe], 0) + 1)</f>
        <v>5</v>
      </c>
      <c r="Y13" s="2" cm="1">
        <f t="array" ref="Y13">INDEX(Table8[P], MATCH(Table7[[#This Row],[Recipe]], Table8[Recipe], 0) + 1)</f>
        <v>1</v>
      </c>
      <c r="Z13" s="2" t="str" cm="1">
        <f t="array" ref="Z13">INDEX(Table8[type], MATCH(Table7[[#This Row],[Recipe]], Table8[Recipe], 0) + 2)</f>
        <v>item</v>
      </c>
      <c r="AA13" s="2" t="str" cm="1">
        <f t="array" ref="AA13">INDEX(Table8[name], MATCH(Table7[[#This Row],[Recipe]], Table8[Recipe], 0) + 2)</f>
        <v>uranium-ore</v>
      </c>
      <c r="AB13" s="2" cm="1">
        <f t="array" ref="AB13">INDEX(Table8[amount_min], MATCH(Table7[[#This Row],[Recipe]], Table8[Recipe], 0) + 2)</f>
        <v>10</v>
      </c>
      <c r="AC13" s="2" cm="1">
        <f t="array" ref="AC13">INDEX(Table8[amount_max], MATCH(Table7[[#This Row],[Recipe]], Table8[Recipe], 0) + 2)</f>
        <v>12</v>
      </c>
      <c r="AD13" s="2" cm="1">
        <f t="array" ref="AD13">INDEX(Table8[P], MATCH(Table7[[#This Row],[Recipe]], Table8[Recipe], 0) + 2)</f>
        <v>1</v>
      </c>
      <c r="AE13" s="2" t="str" cm="1">
        <f t="array" ref="AE13">INDEX(Table8[type], MATCH(Table7[[#This Row],[Recipe]], Table8[Recipe], 0) + 3)</f>
        <v>item</v>
      </c>
      <c r="AF13" s="16" t="str" cm="1">
        <f t="array" ref="AF13">INDEX(Table8[name], MATCH(Table7[[#This Row],[Recipe]], Table8[Recipe], 0) + 3)</f>
        <v>astra-gleba-asteroid-chunk</v>
      </c>
      <c r="AG13" s="2" cm="1">
        <f t="array" ref="AG13">INDEX(Table8[amount_min], MATCH(Table7[[#This Row],[Recipe]], Table8[Recipe], 0) + 3)</f>
        <v>1</v>
      </c>
      <c r="AH13" s="2" cm="1">
        <f t="array" ref="AH13">INDEX(Table8[amount_max], MATCH(Table7[[#This Row],[Recipe]], Table8[Recipe], 0) + 3)</f>
        <v>1</v>
      </c>
      <c r="AI13" s="2" cm="1">
        <f t="array" ref="AI13">INDEX(Table8[P], MATCH(Table7[[#This Row],[Recipe]], Table8[Recipe], 0) + 3)</f>
        <v>0.2</v>
      </c>
      <c r="AJ13" t="str" cm="1">
        <f t="array" ref="AJ13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"astra-nauvis-asteroid-chunk", amount_min = 1, amount_max = 1, probability = 0.2 }</v>
      </c>
      <c r="AK13" t="str" cm="1">
        <f t="array" ref="AK13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"stone", amount_min = 5, amount_max = 5, probability = 1 }</v>
      </c>
      <c r="AL13" t="str" cm="1">
        <f t="array" ref="AL13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"uranium-ore", amount_min = 10, amount_max = 12, probability = 1 }</v>
      </c>
      <c r="AM13" t="str" cm="1">
        <f t="array" ref="AM13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"astra-gleba-asteroid-chunk", amount_min = 1, amount_max = 1, probability = 0.2 }</v>
      </c>
      <c r="AN13" s="14" t="str" cm="1">
        <f t="array" ref="AN13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"astra-nauvis-asteroid-chunk", amount = 1 } }</v>
      </c>
      <c r="AO13" s="14" t="str" cm="1">
        <f t="array" ref="AO13" xml:space="preserve"> "{ 
    " &amp; _xlfn.TEXTJOIN(", 
    ", TRUE, _xlfn._xlws.FILTER(Table7[[#This Row],[Results 1]:[Results 4]], IFERROR(--Table7[[#This Row],[Results 1]:[Results 4]], TRUE))) &amp; " 
}"</f>
        <v>{ 
    { type = "item", name = "astra-nauvis-asteroid-chunk", amount_min = 1, amount_max = 1, probability = 0.2 }, 
    { type = "item", name = "stone", amount_min = 5, amount_max = 5, probability = 1 }, 
    { type = "item", name = "uranium-ore", amount_min = 10, amount_max = 12, probability = 1 }, 
    { type = "item", name = "astra-gleba-asteroid-chunk", amount_min = 1, amount_max = 1, probability = 0.2 } 
}</v>
      </c>
      <c r="AP13" s="15" t="str" cm="1">
        <f t="array" ref="AP13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nauvis_asteroid_chunk_crushing.name = "astra-nauvis-asteroid-crushing"
nauvis_asteroid_chunk_crushing.icon = "__Astra-Asteroids__/graphics/nauvis_crushing_basic.png"
nauvis_asteroid_chunk_crushing.order = "h[nauvis].a[basic]"
nauvis_asteroid_chunk_crushing.enabled = false
nauvis_asteroid_chunk_crushing.energy_required = 2
nauvis_asteroid_chunk_crushing.ingredients = { { type = "item", name = "astra-nauvis-asteroid-chunk", amount = 1 } }
nauvis_asteroid_chunk_crushing.results = { 
    { type = "item", name = "astra-nauvis-asteroid-chunk", amount_min = 1, amount_max = 1, probability = 0.2 }, 
    { type = "item", name = "stone", amount_min = 5, amount_max = 5, probability = 1 }, 
    { type = "item", name = "uranium-ore", amount_min = 10, amount_max = 12, probability = 1 }, 
    { type = "item", name = "astra-gleba-asteroid-chunk", amount_min = 1, amount_max = 1, probability = 0.2 } 
}</v>
      </c>
    </row>
    <row r="14" spans="2:42" ht="18.75" customHeight="1">
      <c r="C14" t="s">
        <v>52</v>
      </c>
      <c r="E14" s="2" t="b">
        <f>OR(ISNUMBER(SEARCH("Adv", Table7[[#This Row],[Recipe]])), ISNUMBER(SEARCH("Special", Table7[[#This Row],[Recipe]])))</f>
        <v>0</v>
      </c>
      <c r="F14" s="2" t="s">
        <v>198</v>
      </c>
      <c r="G14" s="2" t="s">
        <v>240</v>
      </c>
      <c r="H14" s="2" t="s">
        <v>186</v>
      </c>
      <c r="I14" s="2" t="s">
        <v>357</v>
      </c>
      <c r="J14" s="2" t="s">
        <v>38</v>
      </c>
      <c r="K14" s="2">
        <v>2</v>
      </c>
      <c r="L14" s="16" t="s">
        <v>226</v>
      </c>
      <c r="M14" s="16"/>
      <c r="N14" s="2">
        <v>1</v>
      </c>
      <c r="P14" s="2" t="str" cm="1">
        <f t="array" ref="P14">INDEX(Table8[type], MATCH(Table7[[#This Row],[Recipe]], Table8[Recipe], 0) + 0)</f>
        <v>item</v>
      </c>
      <c r="Q14" s="2" t="str" cm="1">
        <f t="array" ref="Q14">INDEX(Table8[name], MATCH(Table7[[#This Row],[Recipe]], Table8[Recipe], 0) + 0)</f>
        <v>astra-gleba-asteroid-chunk</v>
      </c>
      <c r="R14" s="2" cm="1">
        <f t="array" ref="R14">INDEX(Table8[amount_min], MATCH(Table7[[#This Row],[Recipe]], Table8[Recipe], 0) + 0)</f>
        <v>1</v>
      </c>
      <c r="S14" s="2" cm="1">
        <f t="array" ref="S14">INDEX(Table8[amount_max], MATCH(Table7[[#This Row],[Recipe]], Table8[Recipe], 0) + 0)</f>
        <v>1</v>
      </c>
      <c r="T14" s="2" cm="1">
        <f t="array" ref="T14">INDEX(Table8[P], MATCH(Table7[[#This Row],[Recipe]], Table8[Recipe], 0) + 0)</f>
        <v>0.2</v>
      </c>
      <c r="U14" s="2" t="str" cm="1">
        <f t="array" ref="U14">INDEX(Table8[type], MATCH(Table7[[#This Row],[Recipe]], Table8[Recipe], 0) + 1)</f>
        <v>item</v>
      </c>
      <c r="V14" s="2" t="str" cm="1">
        <f t="array" ref="V14">INDEX(Table8[name], MATCH(Table7[[#This Row],[Recipe]], Table8[Recipe], 0) + 1)</f>
        <v>jellynut-seed</v>
      </c>
      <c r="W14" s="2" cm="1">
        <f t="array" ref="W14">INDEX(Table8[amount_min], MATCH(Table7[[#This Row],[Recipe]], Table8[Recipe], 0) + 1)</f>
        <v>1</v>
      </c>
      <c r="X14" s="2" cm="1">
        <f t="array" ref="X14">INDEX(Table8[amount_max], MATCH(Table7[[#This Row],[Recipe]], Table8[Recipe], 0) + 1)</f>
        <v>1</v>
      </c>
      <c r="Y14" s="2" cm="1">
        <f t="array" ref="Y14">INDEX(Table8[P], MATCH(Table7[[#This Row],[Recipe]], Table8[Recipe], 0) + 1)</f>
        <v>0.1</v>
      </c>
      <c r="Z14" s="2" t="str" cm="1">
        <f t="array" ref="Z14">INDEX(Table8[type], MATCH(Table7[[#This Row],[Recipe]], Table8[Recipe], 0) + 2)</f>
        <v>item</v>
      </c>
      <c r="AA14" s="2" t="str" cm="1">
        <f t="array" ref="AA14">INDEX(Table8[name], MATCH(Table7[[#This Row],[Recipe]], Table8[Recipe], 0) + 2)</f>
        <v>spoilage</v>
      </c>
      <c r="AB14" s="2" cm="1">
        <f t="array" ref="AB14">INDEX(Table8[amount_min], MATCH(Table7[[#This Row],[Recipe]], Table8[Recipe], 0) + 2)</f>
        <v>5</v>
      </c>
      <c r="AC14" s="2" cm="1">
        <f t="array" ref="AC14">INDEX(Table8[amount_max], MATCH(Table7[[#This Row],[Recipe]], Table8[Recipe], 0) + 2)</f>
        <v>10</v>
      </c>
      <c r="AD14" s="2" cm="1">
        <f t="array" ref="AD14">INDEX(Table8[P], MATCH(Table7[[#This Row],[Recipe]], Table8[Recipe], 0) + 2)</f>
        <v>1</v>
      </c>
      <c r="AE14" s="2" t="str" cm="1">
        <f t="array" ref="AE14">INDEX(Table8[type], MATCH(Table7[[#This Row],[Recipe]], Table8[Recipe], 0) + 3)</f>
        <v>item</v>
      </c>
      <c r="AF14" s="16" t="str" cm="1">
        <f t="array" ref="AF14">INDEX(Table8[name], MATCH(Table7[[#This Row],[Recipe]], Table8[Recipe], 0) + 3)</f>
        <v>stone</v>
      </c>
      <c r="AG14" s="2" cm="1">
        <f t="array" ref="AG14">INDEX(Table8[amount_min], MATCH(Table7[[#This Row],[Recipe]], Table8[Recipe], 0) + 3)</f>
        <v>5</v>
      </c>
      <c r="AH14" s="2" cm="1">
        <f t="array" ref="AH14">INDEX(Table8[amount_max], MATCH(Table7[[#This Row],[Recipe]], Table8[Recipe], 0) + 3)</f>
        <v>5</v>
      </c>
      <c r="AI14" s="2" cm="1">
        <f t="array" ref="AI14">INDEX(Table8[P], MATCH(Table7[[#This Row],[Recipe]], Table8[Recipe], 0) + 3)</f>
        <v>1</v>
      </c>
      <c r="AJ14" t="str" cm="1">
        <f t="array" ref="AJ14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"astra-gleba-asteroid-chunk", amount_min = 1, amount_max = 1, probability = 0.2 }</v>
      </c>
      <c r="AK14" t="str" cm="1">
        <f t="array" ref="AK14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"jellynut-seed", amount_min = 1, amount_max = 1, probability = 0.1 }</v>
      </c>
      <c r="AL14" t="str" cm="1">
        <f t="array" ref="AL14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"spoilage", amount_min = 5, amount_max = 10, probability = 1 }</v>
      </c>
      <c r="AM14" t="str" cm="1">
        <f t="array" ref="AM14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"stone", amount_min = 5, amount_max = 5, probability = 1 }</v>
      </c>
      <c r="AN14" s="14" t="str" cm="1">
        <f t="array" ref="AN14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"astra-gleba-asteroid-chunk", amount = 1 } }</v>
      </c>
      <c r="AO14" s="14" t="str" cm="1">
        <f t="array" ref="AO14" xml:space="preserve"> "{ 
    " &amp; _xlfn.TEXTJOIN(", 
    ", TRUE, _xlfn._xlws.FILTER(Table7[[#This Row],[Results 1]:[Results 4]], IFERROR(--Table7[[#This Row],[Results 1]:[Results 4]], TRUE))) &amp; " 
}"</f>
        <v>{ 
    { type = "item", name = "astra-gleba-asteroid-chunk", amount_min = 1, amount_max = 1, probability = 0.2 }, 
    { type = "item", name = "jellynut-seed", amount_min = 1, amount_max = 1, probability = 0.1 }, 
    { type = "item", name = "spoilage", amount_min = 5, amount_max = 10, probability = 1 }, 
    { type = "item", name = "stone", amount_min = 5, amount_max = 5, probability = 1 } 
}</v>
      </c>
      <c r="AP14" s="15" t="str" cm="1">
        <f t="array" ref="AP14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gleba_asteroid_chunk_crushing.name = "astra-gleba-asteroid-crushing"
gleba_asteroid_chunk_crushing.icon = "__Astra-Asteroids__/graphics/gleba_crushing_basic.png"
gleba_asteroid_chunk_crushing.order = "j[gleba].a[basic]"
gleba_asteroid_chunk_crushing.enabled = false
gleba_asteroid_chunk_crushing.energy_required = 2
gleba_asteroid_chunk_crushing.ingredients = { { type = "item", name = "astra-gleba-asteroid-chunk", amount = 1 } }
gleba_asteroid_chunk_crushing.results = { 
    { type = "item", name = "astra-gleba-asteroid-chunk", amount_min = 1, amount_max = 1, probability = 0.2 }, 
    { type = "item", name = "jellynut-seed", amount_min = 1, amount_max = 1, probability = 0.1 }, 
    { type = "item", name = "spoilage", amount_min = 5, amount_max = 10, probability = 1 }, 
    { type = "item", name = "stone", amount_min = 5, amount_max = 5, probability = 1 } 
}</v>
      </c>
    </row>
    <row r="15" spans="2:42" ht="18.75" customHeight="1">
      <c r="C15" t="s">
        <v>51</v>
      </c>
      <c r="E15" s="2" t="b">
        <f>OR(ISNUMBER(SEARCH("Adv", Table7[[#This Row],[Recipe]])), ISNUMBER(SEARCH("Special", Table7[[#This Row],[Recipe]])))</f>
        <v>0</v>
      </c>
      <c r="F15" s="2" t="s">
        <v>176</v>
      </c>
      <c r="G15" s="2" t="s">
        <v>241</v>
      </c>
      <c r="H15" s="2" t="s">
        <v>183</v>
      </c>
      <c r="I15" s="2" t="s">
        <v>356</v>
      </c>
      <c r="J15" s="2" t="s">
        <v>38</v>
      </c>
      <c r="K15" s="2">
        <v>2</v>
      </c>
      <c r="L15" s="16" t="s">
        <v>227</v>
      </c>
      <c r="M15" s="16"/>
      <c r="N15" s="2">
        <v>1</v>
      </c>
      <c r="P15" s="2" t="str" cm="1">
        <f t="array" ref="P15">INDEX(Table8[type], MATCH(Table7[[#This Row],[Recipe]], Table8[Recipe], 0) + 0)</f>
        <v>item</v>
      </c>
      <c r="Q15" s="2" t="str" cm="1">
        <f t="array" ref="Q15">INDEX(Table8[name], MATCH(Table7[[#This Row],[Recipe]], Table8[Recipe], 0) + 0)</f>
        <v>astra-fulgoran-asteroid-chunk</v>
      </c>
      <c r="R15" s="2" cm="1">
        <f t="array" ref="R15">INDEX(Table8[amount_min], MATCH(Table7[[#This Row],[Recipe]], Table8[Recipe], 0) + 0)</f>
        <v>1</v>
      </c>
      <c r="S15" s="2" cm="1">
        <f t="array" ref="S15">INDEX(Table8[amount_max], MATCH(Table7[[#This Row],[Recipe]], Table8[Recipe], 0) + 0)</f>
        <v>1</v>
      </c>
      <c r="T15" s="2" cm="1">
        <f t="array" ref="T15">INDEX(Table8[P], MATCH(Table7[[#This Row],[Recipe]], Table8[Recipe], 0) + 0)</f>
        <v>0.2</v>
      </c>
      <c r="U15" s="2" t="str" cm="1">
        <f t="array" ref="U15">INDEX(Table8[type], MATCH(Table7[[#This Row],[Recipe]], Table8[Recipe], 0) + 1)</f>
        <v>item</v>
      </c>
      <c r="V15" s="2" t="str" cm="1">
        <f t="array" ref="V15">INDEX(Table8[name], MATCH(Table7[[#This Row],[Recipe]], Table8[Recipe], 0) + 1)</f>
        <v>scrap</v>
      </c>
      <c r="W15" s="2" cm="1">
        <f t="array" ref="W15">INDEX(Table8[amount_min], MATCH(Table7[[#This Row],[Recipe]], Table8[Recipe], 0) + 1)</f>
        <v>5</v>
      </c>
      <c r="X15" s="2" cm="1">
        <f t="array" ref="X15">INDEX(Table8[amount_max], MATCH(Table7[[#This Row],[Recipe]], Table8[Recipe], 0) + 1)</f>
        <v>10</v>
      </c>
      <c r="Y15" s="2" cm="1">
        <f t="array" ref="Y15">INDEX(Table8[P], MATCH(Table7[[#This Row],[Recipe]], Table8[Recipe], 0) + 1)</f>
        <v>1</v>
      </c>
      <c r="Z15" s="2" t="str" cm="1">
        <f t="array" ref="Z15">INDEX(Table8[type], MATCH(Table7[[#This Row],[Recipe]], Table8[Recipe], 0) + 2)</f>
        <v>item</v>
      </c>
      <c r="AA15" s="2" t="str" cm="1">
        <f t="array" ref="AA15">INDEX(Table8[name], MATCH(Table7[[#This Row],[Recipe]], Table8[Recipe], 0) + 2)</f>
        <v>stone</v>
      </c>
      <c r="AB15" s="2" cm="1">
        <f t="array" ref="AB15">INDEX(Table8[amount_min], MATCH(Table7[[#This Row],[Recipe]], Table8[Recipe], 0) + 2)</f>
        <v>0</v>
      </c>
      <c r="AC15" s="2" cm="1">
        <f t="array" ref="AC15">INDEX(Table8[amount_max], MATCH(Table7[[#This Row],[Recipe]], Table8[Recipe], 0) + 2)</f>
        <v>0</v>
      </c>
      <c r="AD15" s="2" cm="1">
        <f t="array" ref="AD15">INDEX(Table8[P], MATCH(Table7[[#This Row],[Recipe]], Table8[Recipe], 0) + 2)</f>
        <v>1</v>
      </c>
      <c r="AE15" s="2" t="str" cm="1">
        <f t="array" ref="AE15">INDEX(Table8[type], MATCH(Table7[[#This Row],[Recipe]], Table8[Recipe], 0) + 3)</f>
        <v>item</v>
      </c>
      <c r="AF15" s="16" t="str" cm="1">
        <f t="array" ref="AF15">INDEX(Table8[name], MATCH(Table7[[#This Row],[Recipe]], Table8[Recipe], 0) + 3)</f>
        <v>astra-aquilo-asteroid-chunk</v>
      </c>
      <c r="AG15" s="2" cm="1">
        <f t="array" ref="AG15">INDEX(Table8[amount_min], MATCH(Table7[[#This Row],[Recipe]], Table8[Recipe], 0) + 3)</f>
        <v>1</v>
      </c>
      <c r="AH15" s="2" cm="1">
        <f t="array" ref="AH15">INDEX(Table8[amount_max], MATCH(Table7[[#This Row],[Recipe]], Table8[Recipe], 0) + 3)</f>
        <v>1</v>
      </c>
      <c r="AI15" s="2" cm="1">
        <f t="array" ref="AI15">INDEX(Table8[P], MATCH(Table7[[#This Row],[Recipe]], Table8[Recipe], 0) + 3)</f>
        <v>0.2</v>
      </c>
      <c r="AJ15" t="str" cm="1">
        <f t="array" ref="AJ15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"astra-fulgoran-asteroid-chunk", amount_min = 1, amount_max = 1, probability = 0.2 }</v>
      </c>
      <c r="AK15" t="str" cm="1">
        <f t="array" ref="AK15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"scrap", amount_min = 5, amount_max = 10, probability = 1 }</v>
      </c>
      <c r="AL15" t="str" cm="1">
        <f t="array" ref="AL15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"stone", amount_min = 0, amount_max = 0, probability = 1 }</v>
      </c>
      <c r="AM15" t="str" cm="1">
        <f t="array" ref="AM15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"astra-aquilo-asteroid-chunk", amount_min = 1, amount_max = 1, probability = 0.2 }</v>
      </c>
      <c r="AN15" s="14" t="str" cm="1">
        <f t="array" ref="AN15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"astra-fulgoran-asteroid-chunk", amount = 1 } }</v>
      </c>
      <c r="AO15" s="14" t="str" cm="1">
        <f t="array" ref="AO15" xml:space="preserve"> "{ 
    " &amp; _xlfn.TEXTJOIN(", 
    ", TRUE, _xlfn._xlws.FILTER(Table7[[#This Row],[Results 1]:[Results 4]], IFERROR(--Table7[[#This Row],[Results 1]:[Results 4]], TRUE))) &amp; " 
}"</f>
        <v>{ 
    { type = "item", name = "astra-fulgoran-asteroid-chunk", amount_min = 1, amount_max = 1, probability = 0.2 }, 
    { type = "item", name = "scrap", amount_min = 5, amount_max = 10, probability = 1 }, 
    { type = "item", name = "stone", amount_min = 0, amount_max = 0, probability = 1 }, 
    { type = "item", name = "astra-aquilo-asteroid-chunk", amount_min = 1, amount_max = 1, probability = 0.2 } 
}</v>
      </c>
      <c r="AP15" s="15" t="str" cm="1">
        <f t="array" ref="AP15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fulgoran_asteroid_chunk_crushing.name = "astra-fulgoran-asteroid-crushing"
fulgoran_asteroid_chunk_crushing.icon = "__Astra-Asteroids__/graphics/fulgora_crushing_basic.png"
fulgoran_asteroid_chunk_crushing.order = "k[fulgora].a[basic]"
fulgoran_asteroid_chunk_crushing.enabled = false
fulgoran_asteroid_chunk_crushing.energy_required = 2
fulgoran_asteroid_chunk_crushing.ingredients = { { type = "item", name = "astra-fulgoran-asteroid-chunk", amount = 1 } }
fulgoran_asteroid_chunk_crushing.results = { 
    { type = "item", name = "astra-fulgoran-asteroid-chunk", amount_min = 1, amount_max = 1, probability = 0.2 }, 
    { type = "item", name = "scrap", amount_min = 5, amount_max = 10, probability = 1 }, 
    { type = "item", name = "stone", amount_min = 0, amount_max = 0, probability = 1 }, 
    { type = "item", name = "astra-aquilo-asteroid-chunk", amount_min = 1, amount_max = 1, probability = 0.2 } 
}</v>
      </c>
    </row>
    <row r="16" spans="2:42" ht="18.75" customHeight="1">
      <c r="C16" t="s">
        <v>340</v>
      </c>
      <c r="E16" s="2" t="b">
        <f>OR(ISNUMBER(SEARCH("Adv", Table7[[#This Row],[Recipe]])), ISNUMBER(SEARCH("Special", Table7[[#This Row],[Recipe]])))</f>
        <v>0</v>
      </c>
      <c r="F16" s="2" t="s">
        <v>343</v>
      </c>
      <c r="G16" s="2" t="s">
        <v>344</v>
      </c>
      <c r="H16" s="18" t="s">
        <v>187</v>
      </c>
      <c r="I16" s="2" t="s">
        <v>345</v>
      </c>
      <c r="J16" s="2" t="s">
        <v>38</v>
      </c>
      <c r="K16" s="2">
        <v>2</v>
      </c>
      <c r="L16" s="16" t="s">
        <v>342</v>
      </c>
      <c r="M16" s="16"/>
      <c r="N16" s="2">
        <v>1</v>
      </c>
      <c r="P16" s="2" t="str" cm="1">
        <f t="array" ref="P16">INDEX(Table8[type], MATCH(Table7[[#This Row],[Recipe]], Table8[Recipe], 0) + 0)</f>
        <v>item</v>
      </c>
      <c r="Q16" s="2" t="str" cm="1">
        <f t="array" ref="Q16">INDEX(Table8[name], MATCH(Table7[[#This Row],[Recipe]], Table8[Recipe], 0) + 0)</f>
        <v>astra-aquilo-asteroid-chunk</v>
      </c>
      <c r="R16" s="2" cm="1">
        <f t="array" ref="R16">INDEX(Table8[amount_min], MATCH(Table7[[#This Row],[Recipe]], Table8[Recipe], 0) + 0)</f>
        <v>1</v>
      </c>
      <c r="S16" s="2" cm="1">
        <f t="array" ref="S16">INDEX(Table8[amount_max], MATCH(Table7[[#This Row],[Recipe]], Table8[Recipe], 0) + 0)</f>
        <v>1</v>
      </c>
      <c r="T16" s="2" cm="1">
        <f t="array" ref="T16">INDEX(Table8[P], MATCH(Table7[[#This Row],[Recipe]], Table8[Recipe], 0) + 0)</f>
        <v>0.2</v>
      </c>
      <c r="U16" s="2" t="str" cm="1">
        <f t="array" ref="U16">INDEX(Table8[type], MATCH(Table7[[#This Row],[Recipe]], Table8[Recipe], 0) + 1)</f>
        <v>item</v>
      </c>
      <c r="V16" s="2" t="str" cm="1">
        <f t="array" ref="V16">INDEX(Table8[name], MATCH(Table7[[#This Row],[Recipe]], Table8[Recipe], 0) + 1)</f>
        <v>lithium</v>
      </c>
      <c r="W16" s="2" cm="1">
        <f t="array" ref="W16">INDEX(Table8[amount_min], MATCH(Table7[[#This Row],[Recipe]], Table8[Recipe], 0) + 1)</f>
        <v>2</v>
      </c>
      <c r="X16" s="2" cm="1">
        <f t="array" ref="X16">INDEX(Table8[amount_max], MATCH(Table7[[#This Row],[Recipe]], Table8[Recipe], 0) + 1)</f>
        <v>5</v>
      </c>
      <c r="Y16" s="2" cm="1">
        <f t="array" ref="Y16">INDEX(Table8[P], MATCH(Table7[[#This Row],[Recipe]], Table8[Recipe], 0) + 1)</f>
        <v>1</v>
      </c>
      <c r="Z16" s="2" t="str" cm="1">
        <f t="array" ref="Z16">INDEX(Table8[type], MATCH(Table7[[#This Row],[Recipe]], Table8[Recipe], 0) + 2)</f>
        <v>item</v>
      </c>
      <c r="AA16" s="2" t="str" cm="1">
        <f t="array" ref="AA16">INDEX(Table8[name], MATCH(Table7[[#This Row],[Recipe]], Table8[Recipe], 0) + 2)</f>
        <v>stone</v>
      </c>
      <c r="AB16" s="2" cm="1">
        <f t="array" ref="AB16">INDEX(Table8[amount_min], MATCH(Table7[[#This Row],[Recipe]], Table8[Recipe], 0) + 2)</f>
        <v>5</v>
      </c>
      <c r="AC16" s="2" cm="1">
        <f t="array" ref="AC16">INDEX(Table8[amount_max], MATCH(Table7[[#This Row],[Recipe]], Table8[Recipe], 0) + 2)</f>
        <v>5</v>
      </c>
      <c r="AD16" s="2" cm="1">
        <f t="array" ref="AD16">INDEX(Table8[P], MATCH(Table7[[#This Row],[Recipe]], Table8[Recipe], 0) + 2)</f>
        <v>1</v>
      </c>
      <c r="AE16" s="2" t="str" cm="1">
        <f t="array" ref="AE16">INDEX(Table8[type], MATCH(Table7[[#This Row],[Recipe]], Table8[Recipe], 0) + 3)</f>
        <v>item</v>
      </c>
      <c r="AF16" s="2" t="str" cm="1">
        <f t="array" ref="AF16">INDEX(Table8[name], MATCH(Table7[[#This Row],[Recipe]], Table8[Recipe], 0) + 3)</f>
        <v>calcite</v>
      </c>
      <c r="AG16" s="2" cm="1">
        <f t="array" ref="AG16">INDEX(Table8[amount_min], MATCH(Table7[[#This Row],[Recipe]], Table8[Recipe], 0) + 3)</f>
        <v>2</v>
      </c>
      <c r="AH16" s="2" cm="1">
        <f t="array" ref="AH16">INDEX(Table8[amount_max], MATCH(Table7[[#This Row],[Recipe]], Table8[Recipe], 0) + 3)</f>
        <v>2</v>
      </c>
      <c r="AI16" s="2" cm="1">
        <f t="array" ref="AI16">INDEX(Table8[P], MATCH(Table7[[#This Row],[Recipe]], Table8[Recipe], 0) + 3)</f>
        <v>1</v>
      </c>
      <c r="AJ16" s="2" t="str" cm="1">
        <f t="array" ref="AJ16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"astra-aquilo-asteroid-chunk", amount_min = 1, amount_max = 1, probability = 0.2 }</v>
      </c>
      <c r="AK16" t="str" cm="1">
        <f t="array" ref="AK16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"lithium", amount_min = 2, amount_max = 5, probability = 1 }</v>
      </c>
      <c r="AL16" t="str" cm="1">
        <f t="array" ref="AL16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"stone", amount_min = 5, amount_max = 5, probability = 1 }</v>
      </c>
      <c r="AM16" t="str" cm="1">
        <f t="array" ref="AM16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"calcite", amount_min = 2, amount_max = 2, probability = 1 }</v>
      </c>
      <c r="AN16" s="14" t="str" cm="1">
        <f t="array" ref="AN16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"astra-aquilo-asteroid-chunk", amount = 1 } }</v>
      </c>
      <c r="AO16" s="14" t="str" cm="1">
        <f t="array" ref="AO16" xml:space="preserve"> "{ 
    " &amp; _xlfn.TEXTJOIN(", 
    ", TRUE, _xlfn._xlws.FILTER(Table7[[#This Row],[Results 1]:[Results 4]], IFERROR(--Table7[[#This Row],[Results 1]:[Results 4]], TRUE))) &amp; " 
}"</f>
        <v>{ 
    { type = "item", name = "astra-aquilo-asteroid-chunk", amount_min = 1, amount_max = 1, probability = 0.2 }, 
    { type = "item", name = "lithium", amount_min = 2, amount_max = 5, probability = 1 }, 
    { type = "item", name = "stone", amount_min = 5, amount_max = 5, probability = 1 }, 
    { type = "item", name = "calcite", amount_min = 2, amount_max = 2, probability = 1 } 
}</v>
      </c>
      <c r="AP16" s="15" t="str" cm="1">
        <f t="array" ref="AP16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aquilo-asteroid-chunk_crushing.name = "astra-aquilo-asteroid-crushing"
aquilo-asteroid-chunk_crushing.icon = "__Astra-Asteroids__/graphics/crude_crushing_basic.png"
aquilo-asteroid-chunk_crushing.order = "l[aquilo].a[basic]"
aquilo-asteroid-chunk_crushing.enabled = false
aquilo-asteroid-chunk_crushing.energy_required = 2
aquilo-asteroid-chunk_crushing.ingredients = { { type = "item", name = "astra-aquilo-asteroid-chunk", amount = 1 } }
aquilo-asteroid-chunk_crushing.results = { 
    { type = "item", name = "astra-aquilo-asteroid-chunk", amount_min = 1, amount_max = 1, probability = 0.2 }, 
    { type = "item", name = "lithium", amount_min = 2, amount_max = 5, probability = 1 }, 
    { type = "item", name = "stone", amount_min = 5, amount_max = 5, probability = 1 }, 
    { type = "item", name = "calcite", amount_min = 2, amount_max = 2, probability = 1 } 
}</v>
      </c>
    </row>
    <row r="17" spans="3:42" ht="18.75" customHeight="1">
      <c r="C17" t="s">
        <v>105</v>
      </c>
      <c r="E17" s="2" t="b">
        <f>OR(ISNUMBER(SEARCH("Adv", Table7[[#This Row],[Recipe]])), ISNUMBER(SEARCH("Special", Table7[[#This Row],[Recipe]])))</f>
        <v>1</v>
      </c>
      <c r="G17" s="2" t="s">
        <v>111</v>
      </c>
      <c r="H17" s="2" t="s">
        <v>114</v>
      </c>
      <c r="J17" s="2" t="s">
        <v>38</v>
      </c>
      <c r="K17" s="2">
        <v>5</v>
      </c>
      <c r="L17" s="16" t="s">
        <v>119</v>
      </c>
      <c r="M17" s="16"/>
      <c r="N17" s="2">
        <v>1</v>
      </c>
      <c r="P17" s="2" t="str" cm="1">
        <f t="array" ref="P17">INDEX(Table8[type], MATCH(Table7[[#This Row],[Recipe]], Table8[Recipe], 0) + 0)</f>
        <v>item</v>
      </c>
      <c r="Q17" s="2" t="str" cm="1">
        <f t="array" ref="Q17">INDEX(Table8[name], MATCH(Table7[[#This Row],[Recipe]], Table8[Recipe], 0) + 0)</f>
        <v>calcite</v>
      </c>
      <c r="R17" s="2" cm="1">
        <f t="array" ref="R17">INDEX(Table8[amount_min], MATCH(Table7[[#This Row],[Recipe]], Table8[Recipe], 0) + 0)</f>
        <v>2</v>
      </c>
      <c r="S17" s="2" cm="1">
        <f t="array" ref="S17">INDEX(Table8[amount_max], MATCH(Table7[[#This Row],[Recipe]], Table8[Recipe], 0) + 0)</f>
        <v>2</v>
      </c>
      <c r="T17" s="2" cm="1">
        <f t="array" ref="T17">INDEX(Table8[P], MATCH(Table7[[#This Row],[Recipe]], Table8[Recipe], 0) + 0)</f>
        <v>1</v>
      </c>
      <c r="U17" s="2" t="str" cm="1">
        <f t="array" ref="U17">INDEX(Table8[type], MATCH(Table7[[#This Row],[Recipe]], Table8[Recipe], 0) + 1)</f>
        <v>item</v>
      </c>
      <c r="V17" s="2" t="str" cm="1">
        <f t="array" ref="V17">INDEX(Table8[name], MATCH(Table7[[#This Row],[Recipe]], Table8[Recipe], 0) + 1)</f>
        <v>ice</v>
      </c>
      <c r="W17" s="2" cm="1">
        <f t="array" ref="W17">INDEX(Table8[amount_min], MATCH(Table7[[#This Row],[Recipe]], Table8[Recipe], 0) + 1)</f>
        <v>3</v>
      </c>
      <c r="X17" s="2" cm="1">
        <f t="array" ref="X17">INDEX(Table8[amount_max], MATCH(Table7[[#This Row],[Recipe]], Table8[Recipe], 0) + 1)</f>
        <v>3</v>
      </c>
      <c r="Y17" s="2" cm="1">
        <f t="array" ref="Y17">INDEX(Table8[P], MATCH(Table7[[#This Row],[Recipe]], Table8[Recipe], 0) + 1)</f>
        <v>1</v>
      </c>
      <c r="Z17" s="2" t="str" cm="1">
        <f t="array" ref="Z17">INDEX(Table8[type], MATCH(Table7[[#This Row],[Recipe]], Table8[Recipe], 0) + 2)</f>
        <v>item</v>
      </c>
      <c r="AA17" s="2" t="str" cm="1">
        <f t="array" ref="AA17">INDEX(Table8[name], MATCH(Table7[[#This Row],[Recipe]], Table8[Recipe], 0) + 2)</f>
        <v>oxide-asteroid-chunk</v>
      </c>
      <c r="AB17" s="2" cm="1">
        <f t="array" ref="AB17">INDEX(Table8[amount_min], MATCH(Table7[[#This Row],[Recipe]], Table8[Recipe], 0) + 2)</f>
        <v>1</v>
      </c>
      <c r="AC17" s="2" cm="1">
        <f t="array" ref="AC17">INDEX(Table8[amount_max], MATCH(Table7[[#This Row],[Recipe]], Table8[Recipe], 0) + 2)</f>
        <v>1</v>
      </c>
      <c r="AD17" s="2" cm="1">
        <f t="array" ref="AD17">INDEX(Table8[P], MATCH(Table7[[#This Row],[Recipe]], Table8[Recipe], 0) + 2)</f>
        <v>0.05</v>
      </c>
      <c r="AE17" s="2" t="str" cm="1">
        <f t="array" ref="AE17">INDEX(Table8[type], MATCH(Table7[[#This Row],[Recipe]], Table8[Recipe], 0) + 3)</f>
        <v>item</v>
      </c>
      <c r="AF17" s="2" t="str" cm="1">
        <f t="array" ref="AF17">INDEX(Table8[name], MATCH(Table7[[#This Row],[Recipe]], Table8[Recipe], 0) + 3)</f>
        <v>copper-ore</v>
      </c>
      <c r="AG17" s="2" cm="1">
        <f t="array" ref="AG17">INDEX(Table8[amount_min], MATCH(Table7[[#This Row],[Recipe]], Table8[Recipe], 0) + 3)</f>
        <v>4</v>
      </c>
      <c r="AH17" s="2" cm="1">
        <f t="array" ref="AH17">INDEX(Table8[amount_max], MATCH(Table7[[#This Row],[Recipe]], Table8[Recipe], 0) + 3)</f>
        <v>4</v>
      </c>
      <c r="AI17" s="2" cm="1">
        <f t="array" ref="AI17">INDEX(Table8[P], MATCH(Table7[[#This Row],[Recipe]], Table8[Recipe], 0) + 3)</f>
        <v>1</v>
      </c>
      <c r="AJ17" t="str" cm="1">
        <f t="array" ref="AJ17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"calcite", amount_min = 2, amount_max = 2, probability = 1 }</v>
      </c>
      <c r="AK17" t="str" cm="1">
        <f t="array" ref="AK17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"ice", amount_min = 3, amount_max = 3, probability = 1 }</v>
      </c>
      <c r="AL17" t="str" cm="1">
        <f t="array" ref="AL17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"oxide-asteroid-chunk", amount_min = 1, amount_max = 1, probability = 0.05 }</v>
      </c>
      <c r="AM17" t="str" cm="1">
        <f t="array" ref="AM17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"copper-ore", amount_min = 4, amount_max = 4, probability = 1 }</v>
      </c>
      <c r="AN17" s="14" t="str" cm="1">
        <f t="array" ref="AN17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"oxide-asteroid-chunk", amount = 1 } }</v>
      </c>
      <c r="AO17" s="14" t="str" cm="1">
        <f t="array" ref="AO17" xml:space="preserve"> "{ 
    " &amp; _xlfn.TEXTJOIN(", 
    ", TRUE, _xlfn._xlws.FILTER(Table7[[#This Row],[Results 1]:[Results 4]], IFERROR(--Table7[[#This Row],[Results 1]:[Results 4]], TRUE))) &amp; " 
}"</f>
        <v>{ 
    { type = "item", name = "calcite", amount_min = 2, amount_max = 2, probability = 1 }, 
    { type = "item", name = "ice", amount_min = 3, amount_max = 3, probability = 1 }, 
    { type = "item", name = "oxide-asteroid-chunk", amount_min = 1, amount_max = 1, probability = 0.05 }, 
    { type = "item", name = "copper-ore", amount_min = 4, amount_max = 4, probability = 1 } 
}</v>
      </c>
      <c r="AP17" s="15" t="str" cm="1">
        <f t="array" ref="AP17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.name = "advanced-oxide-asteroid-crushing"
.icon = "__space-age__\graphics\icons\advanced-oxide-asteroid-crushing.png"
.order = 
.enabled = false
.energy_required = 5
.ingredients = { { type = "item", name = "oxide-asteroid-chunk", amount = 1 } }
.results = { 
    { type = "item", name = "calcite", amount_min = 2, amount_max = 2, probability = 1 }, 
    { type = "item", name = "ice", amount_min = 3, amount_max = 3, probability = 1 }, 
    { type = "item", name = "oxide-asteroid-chunk", amount_min = 1, amount_max = 1, probability = 0.05 }, 
    { type = "item", name = "copper-ore", amount_min = 4, amount_max = 4, probability = 1 } 
}</v>
      </c>
    </row>
    <row r="18" spans="3:42" ht="18.75" customHeight="1">
      <c r="C18" t="s">
        <v>103</v>
      </c>
      <c r="E18" s="2" t="b">
        <f>OR(ISNUMBER(SEARCH("Adv", Table7[[#This Row],[Recipe]])), ISNUMBER(SEARCH("Special", Table7[[#This Row],[Recipe]])))</f>
        <v>1</v>
      </c>
      <c r="G18" s="2" t="s">
        <v>109</v>
      </c>
      <c r="H18" s="2" t="s">
        <v>112</v>
      </c>
      <c r="J18" s="2" t="s">
        <v>38</v>
      </c>
      <c r="K18" s="2">
        <v>5</v>
      </c>
      <c r="L18" s="16" t="s">
        <v>60</v>
      </c>
      <c r="M18" s="16"/>
      <c r="N18" s="2">
        <v>1</v>
      </c>
      <c r="P18" s="2" t="str" cm="1">
        <f t="array" ref="P18">INDEX(Table8[type], MATCH(Table7[[#This Row],[Recipe]], Table8[Recipe], 0) + 0)</f>
        <v>item</v>
      </c>
      <c r="Q18" s="2" t="str" cm="1">
        <f t="array" ref="Q18">INDEX(Table8[name], MATCH(Table7[[#This Row],[Recipe]], Table8[Recipe], 0) + 0)</f>
        <v>copper-ore</v>
      </c>
      <c r="R18" s="2" cm="1">
        <f t="array" ref="R18">INDEX(Table8[amount_min], MATCH(Table7[[#This Row],[Recipe]], Table8[Recipe], 0) + 0)</f>
        <v>4</v>
      </c>
      <c r="S18" s="2" cm="1">
        <f t="array" ref="S18">INDEX(Table8[amount_max], MATCH(Table7[[#This Row],[Recipe]], Table8[Recipe], 0) + 0)</f>
        <v>4</v>
      </c>
      <c r="T18" s="2" cm="1">
        <f t="array" ref="T18">INDEX(Table8[P], MATCH(Table7[[#This Row],[Recipe]], Table8[Recipe], 0) + 0)</f>
        <v>1</v>
      </c>
      <c r="U18" s="2" t="str" cm="1">
        <f t="array" ref="U18">INDEX(Table8[type], MATCH(Table7[[#This Row],[Recipe]], Table8[Recipe], 0) + 1)</f>
        <v>item</v>
      </c>
      <c r="V18" s="2" t="str" cm="1">
        <f t="array" ref="V18">INDEX(Table8[name], MATCH(Table7[[#This Row],[Recipe]], Table8[Recipe], 0) + 1)</f>
        <v>iron-ore</v>
      </c>
      <c r="W18" s="2" cm="1">
        <f t="array" ref="W18">INDEX(Table8[amount_min], MATCH(Table7[[#This Row],[Recipe]], Table8[Recipe], 0) + 1)</f>
        <v>10</v>
      </c>
      <c r="X18" s="2" cm="1">
        <f t="array" ref="X18">INDEX(Table8[amount_max], MATCH(Table7[[#This Row],[Recipe]], Table8[Recipe], 0) + 1)</f>
        <v>10</v>
      </c>
      <c r="Y18" s="2" cm="1">
        <f t="array" ref="Y18">INDEX(Table8[P], MATCH(Table7[[#This Row],[Recipe]], Table8[Recipe], 0) + 1)</f>
        <v>1</v>
      </c>
      <c r="Z18" s="2" t="str" cm="1">
        <f t="array" ref="Z18">INDEX(Table8[type], MATCH(Table7[[#This Row],[Recipe]], Table8[Recipe], 0) + 2)</f>
        <v>item</v>
      </c>
      <c r="AA18" s="2" t="str" cm="1">
        <f t="array" ref="AA18">INDEX(Table8[name], MATCH(Table7[[#This Row],[Recipe]], Table8[Recipe], 0) + 2)</f>
        <v>metallic-asteroid-chunk</v>
      </c>
      <c r="AB18" s="2" cm="1">
        <f t="array" ref="AB18">INDEX(Table8[amount_min], MATCH(Table7[[#This Row],[Recipe]], Table8[Recipe], 0) + 2)</f>
        <v>1</v>
      </c>
      <c r="AC18" s="2" cm="1">
        <f t="array" ref="AC18">INDEX(Table8[amount_max], MATCH(Table7[[#This Row],[Recipe]], Table8[Recipe], 0) + 2)</f>
        <v>1</v>
      </c>
      <c r="AD18" s="2" cm="1">
        <f t="array" ref="AD18">INDEX(Table8[P], MATCH(Table7[[#This Row],[Recipe]], Table8[Recipe], 0) + 2)</f>
        <v>0.05</v>
      </c>
      <c r="AE18" s="2" t="str" cm="1">
        <f t="array" ref="AE18">INDEX(Table8[type], MATCH(Table7[[#This Row],[Recipe]], Table8[Recipe], 0) + 3)</f>
        <v>item</v>
      </c>
      <c r="AF18" s="2" t="str" cm="1">
        <f t="array" ref="AF18">INDEX(Table8[name], MATCH(Table7[[#This Row],[Recipe]], Table8[Recipe], 0) + 3)</f>
        <v>carbon</v>
      </c>
      <c r="AG18" s="2" cm="1">
        <f t="array" ref="AG18">INDEX(Table8[amount_min], MATCH(Table7[[#This Row],[Recipe]], Table8[Recipe], 0) + 3)</f>
        <v>5</v>
      </c>
      <c r="AH18" s="2" cm="1">
        <f t="array" ref="AH18">INDEX(Table8[amount_max], MATCH(Table7[[#This Row],[Recipe]], Table8[Recipe], 0) + 3)</f>
        <v>5</v>
      </c>
      <c r="AI18" s="2" cm="1">
        <f t="array" ref="AI18">INDEX(Table8[P], MATCH(Table7[[#This Row],[Recipe]], Table8[Recipe], 0) + 3)</f>
        <v>1</v>
      </c>
      <c r="AJ18" t="str" cm="1">
        <f t="array" ref="AJ18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"copper-ore", amount_min = 4, amount_max = 4, probability = 1 }</v>
      </c>
      <c r="AK18" t="str" cm="1">
        <f t="array" ref="AK18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"iron-ore", amount_min = 10, amount_max = 10, probability = 1 }</v>
      </c>
      <c r="AL18" t="str" cm="1">
        <f t="array" ref="AL18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"metallic-asteroid-chunk", amount_min = 1, amount_max = 1, probability = 0.05 }</v>
      </c>
      <c r="AM18" t="str" cm="1">
        <f t="array" ref="AM18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"carbon", amount_min = 5, amount_max = 5, probability = 1 }</v>
      </c>
      <c r="AN18" s="14" t="str" cm="1">
        <f t="array" ref="AN18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"metallic-astroid-chunk", amount = 1 } }</v>
      </c>
      <c r="AO18" s="14" t="str" cm="1">
        <f t="array" ref="AO18" xml:space="preserve"> "{ 
    " &amp; _xlfn.TEXTJOIN(", 
    ", TRUE, _xlfn._xlws.FILTER(Table7[[#This Row],[Results 1]:[Results 4]], IFERROR(--Table7[[#This Row],[Results 1]:[Results 4]], TRUE))) &amp; " 
}"</f>
        <v>{ 
    { type = "item", name = "copper-ore", amount_min = 4, amount_max = 4, probability = 1 }, 
    { type = "item", name = "iron-ore", amount_min = 10, amount_max = 10, probability = 1 }, 
    { type = "item", name = "metallic-asteroid-chunk", amount_min = 1, amount_max = 1, probability = 0.05 }, 
    { type = "item", name = "carbon", amount_min = 5, amount_max = 5, probability = 1 } 
}</v>
      </c>
      <c r="AP18" s="15" t="str" cm="1">
        <f t="array" ref="AP18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.name = "advanced-metallic-asteroid-crushing"
.icon = "__space-age__\graphics\icons\advanced-metallic-asteroid-crushing.png"
.order = 
.enabled = false
.energy_required = 5
.ingredients = { { type = "item", name = "metallic-astroid-chunk", amount = 1 } }
.results = { 
    { type = "item", name = "copper-ore", amount_min = 4, amount_max = 4, probability = 1 }, 
    { type = "item", name = "iron-ore", amount_min = 10, amount_max = 10, probability = 1 }, 
    { type = "item", name = "metallic-asteroid-chunk", amount_min = 1, amount_max = 1, probability = 0.05 }, 
    { type = "item", name = "carbon", amount_min = 5, amount_max = 5, probability = 1 } 
}</v>
      </c>
    </row>
    <row r="19" spans="3:42" ht="18.75" customHeight="1">
      <c r="C19" t="s">
        <v>104</v>
      </c>
      <c r="E19" s="2" t="b">
        <f>OR(ISNUMBER(SEARCH("Adv", Table7[[#This Row],[Recipe]])), ISNUMBER(SEARCH("Special", Table7[[#This Row],[Recipe]])))</f>
        <v>1</v>
      </c>
      <c r="G19" s="2" t="s">
        <v>110</v>
      </c>
      <c r="H19" s="2" t="s">
        <v>113</v>
      </c>
      <c r="J19" s="2" t="s">
        <v>38</v>
      </c>
      <c r="K19" s="2">
        <v>5</v>
      </c>
      <c r="L19" s="16" t="s">
        <v>118</v>
      </c>
      <c r="M19" s="16"/>
      <c r="N19" s="2">
        <v>1</v>
      </c>
      <c r="P19" s="2" t="str" cm="1">
        <f t="array" ref="P19">INDEX(Table8[type], MATCH(Table7[[#This Row],[Recipe]], Table8[Recipe], 0) + 0)</f>
        <v>item</v>
      </c>
      <c r="Q19" s="2" t="str" cm="1">
        <f t="array" ref="Q19">INDEX(Table8[name], MATCH(Table7[[#This Row],[Recipe]], Table8[Recipe], 0) + 0)</f>
        <v>carbon</v>
      </c>
      <c r="R19" s="2" cm="1">
        <f t="array" ref="R19">INDEX(Table8[amount_min], MATCH(Table7[[#This Row],[Recipe]], Table8[Recipe], 0) + 0)</f>
        <v>5</v>
      </c>
      <c r="S19" s="2" cm="1">
        <f t="array" ref="S19">INDEX(Table8[amount_max], MATCH(Table7[[#This Row],[Recipe]], Table8[Recipe], 0) + 0)</f>
        <v>5</v>
      </c>
      <c r="T19" s="2" cm="1">
        <f t="array" ref="T19">INDEX(Table8[P], MATCH(Table7[[#This Row],[Recipe]], Table8[Recipe], 0) + 0)</f>
        <v>1</v>
      </c>
      <c r="U19" s="2" t="str" cm="1">
        <f t="array" ref="U19">INDEX(Table8[type], MATCH(Table7[[#This Row],[Recipe]], Table8[Recipe], 0) + 1)</f>
        <v>item</v>
      </c>
      <c r="V19" s="2" t="str" cm="1">
        <f t="array" ref="V19">INDEX(Table8[name], MATCH(Table7[[#This Row],[Recipe]], Table8[Recipe], 0) + 1)</f>
        <v>carbonic-asteroid-chunk</v>
      </c>
      <c r="W19" s="2" cm="1">
        <f t="array" ref="W19">INDEX(Table8[amount_min], MATCH(Table7[[#This Row],[Recipe]], Table8[Recipe], 0) + 1)</f>
        <v>1</v>
      </c>
      <c r="X19" s="2" cm="1">
        <f t="array" ref="X19">INDEX(Table8[amount_max], MATCH(Table7[[#This Row],[Recipe]], Table8[Recipe], 0) + 1)</f>
        <v>1</v>
      </c>
      <c r="Y19" s="2" cm="1">
        <f t="array" ref="Y19">INDEX(Table8[P], MATCH(Table7[[#This Row],[Recipe]], Table8[Recipe], 0) + 1)</f>
        <v>0.05</v>
      </c>
      <c r="Z19" s="2" t="str" cm="1">
        <f t="array" ref="Z19">INDEX(Table8[type], MATCH(Table7[[#This Row],[Recipe]], Table8[Recipe], 0) + 2)</f>
        <v>item</v>
      </c>
      <c r="AA19" s="2" t="str" cm="1">
        <f t="array" ref="AA19">INDEX(Table8[name], MATCH(Table7[[#This Row],[Recipe]], Table8[Recipe], 0) + 2)</f>
        <v>sulfur</v>
      </c>
      <c r="AB19" s="2" cm="1">
        <f t="array" ref="AB19">INDEX(Table8[amount_min], MATCH(Table7[[#This Row],[Recipe]], Table8[Recipe], 0) + 2)</f>
        <v>2</v>
      </c>
      <c r="AC19" s="2" cm="1">
        <f t="array" ref="AC19">INDEX(Table8[amount_max], MATCH(Table7[[#This Row],[Recipe]], Table8[Recipe], 0) + 2)</f>
        <v>2</v>
      </c>
      <c r="AD19" s="2" cm="1">
        <f t="array" ref="AD19">INDEX(Table8[P], MATCH(Table7[[#This Row],[Recipe]], Table8[Recipe], 0) + 2)</f>
        <v>1</v>
      </c>
      <c r="AE19" s="2" t="str" cm="1">
        <f t="array" ref="AE19">INDEX(Table8[type], MATCH(Table7[[#This Row],[Recipe]], Table8[Recipe], 0) + 3)</f>
        <v>item</v>
      </c>
      <c r="AF19" s="2" t="str" cm="1">
        <f t="array" ref="AF19">INDEX(Table8[name], MATCH(Table7[[#This Row],[Recipe]], Table8[Recipe], 0) + 3)</f>
        <v>astra-vulcanic-asteroid-chunk</v>
      </c>
      <c r="AG19" s="2" cm="1">
        <f t="array" ref="AG19">INDEX(Table8[amount_min], MATCH(Table7[[#This Row],[Recipe]], Table8[Recipe], 0) + 3)</f>
        <v>1</v>
      </c>
      <c r="AH19" s="2" cm="1">
        <f t="array" ref="AH19">INDEX(Table8[amount_max], MATCH(Table7[[#This Row],[Recipe]], Table8[Recipe], 0) + 3)</f>
        <v>1</v>
      </c>
      <c r="AI19" s="2" cm="1">
        <f t="array" ref="AI19">INDEX(Table8[P], MATCH(Table7[[#This Row],[Recipe]], Table8[Recipe], 0) + 3)</f>
        <v>0.05</v>
      </c>
      <c r="AJ19" t="str" cm="1">
        <f t="array" ref="AJ19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"carbon", amount_min = 5, amount_max = 5, probability = 1 }</v>
      </c>
      <c r="AK19" t="str" cm="1">
        <f t="array" ref="AK19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"carbonic-asteroid-chunk", amount_min = 1, amount_max = 1, probability = 0.05 }</v>
      </c>
      <c r="AL19" t="str" cm="1">
        <f t="array" ref="AL19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"sulfur", amount_min = 2, amount_max = 2, probability = 1 }</v>
      </c>
      <c r="AM19" t="str" cm="1">
        <f t="array" ref="AM19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"astra-vulcanic-asteroid-chunk", amount_min = 1, amount_max = 1, probability = 0.05 }</v>
      </c>
      <c r="AN19" s="14" t="str" cm="1">
        <f t="array" ref="AN19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"carbonic-asteroid-chunk", amount = 1 } }</v>
      </c>
      <c r="AO19" s="14" t="str" cm="1">
        <f t="array" ref="AO19" xml:space="preserve"> "{ 
    " &amp; _xlfn.TEXTJOIN(", 
    ", TRUE, _xlfn._xlws.FILTER(Table7[[#This Row],[Results 1]:[Results 4]], IFERROR(--Table7[[#This Row],[Results 1]:[Results 4]], TRUE))) &amp; " 
}"</f>
        <v>{ 
    { type = "item", name = "carbon", amount_min = 5, amount_max = 5, probability = 1 }, 
    { type = "item", name = "carbonic-asteroid-chunk", amount_min = 1, amount_max = 1, probability = 0.05 }, 
    { type = "item", name = "sulfur", amount_min = 2, amount_max = 2, probability = 1 }, 
    { type = "item", name = "astra-vulcanic-asteroid-chunk", amount_min = 1, amount_max = 1, probability = 0.05 } 
}</v>
      </c>
      <c r="AP19" s="15" t="str" cm="1">
        <f t="array" ref="AP19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.name = "advanced-carbonic-asteroid-crushing"
.icon = "__space-age__\graphics\icons\advanced-carbonic-asteroid-crushing.png"
.order = 
.enabled = false
.energy_required = 5
.ingredients = { { type = "item", name = "carbonic-asteroid-chunk", amount = 1 } }
.results = { 
    { type = "item", name = "carbon", amount_min = 5, amount_max = 5, probability = 1 }, 
    { type = "item", name = "carbonic-asteroid-chunk", amount_min = 1, amount_max = 1, probability = 0.05 }, 
    { type = "item", name = "sulfur", amount_min = 2, amount_max = 2, probability = 1 }, 
    { type = "item", name = "astra-vulcanic-asteroid-chunk", amount_min = 1, amount_max = 1, probability = 0.05 } 
}</v>
      </c>
    </row>
    <row r="20" spans="3:42" ht="18.75" customHeight="1">
      <c r="C20" t="s">
        <v>160</v>
      </c>
      <c r="E20" s="2" t="b">
        <f>OR(ISNUMBER(SEARCH("Adv", Table7[[#This Row],[Recipe]])), ISNUMBER(SEARCH("Special", Table7[[#This Row],[Recipe]])))</f>
        <v>1</v>
      </c>
      <c r="F20" s="2" t="s">
        <v>177</v>
      </c>
      <c r="G20" s="2" t="s">
        <v>236</v>
      </c>
      <c r="H20" s="18" t="s">
        <v>184</v>
      </c>
      <c r="I20" s="2" t="s">
        <v>362</v>
      </c>
      <c r="J20" s="2" t="s">
        <v>38</v>
      </c>
      <c r="K20" s="2">
        <v>5</v>
      </c>
      <c r="L20" s="16" t="s">
        <v>224</v>
      </c>
      <c r="M20" s="16"/>
      <c r="N20" s="2">
        <v>1</v>
      </c>
      <c r="P20" s="2" t="str" cm="1">
        <f t="array" ref="P20">INDEX(Table8[type], MATCH(Table7[[#This Row],[Recipe]], Table8[Recipe], 0) + 0)</f>
        <v>item</v>
      </c>
      <c r="Q20" s="2" t="str" cm="1">
        <f t="array" ref="Q20">INDEX(Table8[name], MATCH(Table7[[#This Row],[Recipe]], Table8[Recipe], 0) + 0)</f>
        <v>astra-vulcanic-asteroid-chunk</v>
      </c>
      <c r="R20" s="2" cm="1">
        <f t="array" ref="R20">INDEX(Table8[amount_min], MATCH(Table7[[#This Row],[Recipe]], Table8[Recipe], 0) + 0)</f>
        <v>1</v>
      </c>
      <c r="S20" s="2" cm="1">
        <f t="array" ref="S20">INDEX(Table8[amount_max], MATCH(Table7[[#This Row],[Recipe]], Table8[Recipe], 0) + 0)</f>
        <v>1</v>
      </c>
      <c r="T20" s="2" cm="1">
        <f t="array" ref="T20">INDEX(Table8[P], MATCH(Table7[[#This Row],[Recipe]], Table8[Recipe], 0) + 0)</f>
        <v>0.05</v>
      </c>
      <c r="U20" s="2" t="str" cm="1">
        <f t="array" ref="U20">INDEX(Table8[type], MATCH(Table7[[#This Row],[Recipe]], Table8[Recipe], 0) + 1)</f>
        <v>item</v>
      </c>
      <c r="V20" s="2" t="str" cm="1">
        <f t="array" ref="V20">INDEX(Table8[name], MATCH(Table7[[#This Row],[Recipe]], Table8[Recipe], 0) + 1)</f>
        <v>stone</v>
      </c>
      <c r="W20" s="2" cm="1">
        <f t="array" ref="W20">INDEX(Table8[amount_min], MATCH(Table7[[#This Row],[Recipe]], Table8[Recipe], 0) + 1)</f>
        <v>0</v>
      </c>
      <c r="X20" s="2" cm="1">
        <f t="array" ref="X20">INDEX(Table8[amount_max], MATCH(Table7[[#This Row],[Recipe]], Table8[Recipe], 0) + 1)</f>
        <v>0</v>
      </c>
      <c r="Y20" s="2" cm="1">
        <f t="array" ref="Y20">INDEX(Table8[P], MATCH(Table7[[#This Row],[Recipe]], Table8[Recipe], 0) + 1)</f>
        <v>1</v>
      </c>
      <c r="Z20" s="2" t="str" cm="1">
        <f t="array" ref="Z20">INDEX(Table8[type], MATCH(Table7[[#This Row],[Recipe]], Table8[Recipe], 0) + 2)</f>
        <v>item</v>
      </c>
      <c r="AA20" s="2" t="str" cm="1">
        <f t="array" ref="AA20">INDEX(Table8[name], MATCH(Table7[[#This Row],[Recipe]], Table8[Recipe], 0) + 2)</f>
        <v>tungsten-ore</v>
      </c>
      <c r="AB20" s="2" cm="1">
        <f t="array" ref="AB20">INDEX(Table8[amount_min], MATCH(Table7[[#This Row],[Recipe]], Table8[Recipe], 0) + 2)</f>
        <v>10</v>
      </c>
      <c r="AC20" s="2" cm="1">
        <f t="array" ref="AC20">INDEX(Table8[amount_max], MATCH(Table7[[#This Row],[Recipe]], Table8[Recipe], 0) + 2)</f>
        <v>14</v>
      </c>
      <c r="AD20" s="2" cm="1">
        <f t="array" ref="AD20">INDEX(Table8[P], MATCH(Table7[[#This Row],[Recipe]], Table8[Recipe], 0) + 2)</f>
        <v>1</v>
      </c>
      <c r="AE20" s="2" t="str" cm="1">
        <f t="array" ref="AE20">INDEX(Table8[type], MATCH(Table7[[#This Row],[Recipe]], Table8[Recipe], 0) + 3)</f>
        <v>item</v>
      </c>
      <c r="AF20" s="16" t="str" cm="1">
        <f t="array" ref="AF20">INDEX(Table8[name], MATCH(Table7[[#This Row],[Recipe]], Table8[Recipe], 0) + 3)</f>
        <v>astra-nauvis-asteroid-chunk</v>
      </c>
      <c r="AG20" s="2" cm="1">
        <f t="array" ref="AG20">INDEX(Table8[amount_min], MATCH(Table7[[#This Row],[Recipe]], Table8[Recipe], 0) + 3)</f>
        <v>1</v>
      </c>
      <c r="AH20" s="2" cm="1">
        <f t="array" ref="AH20">INDEX(Table8[amount_max], MATCH(Table7[[#This Row],[Recipe]], Table8[Recipe], 0) + 3)</f>
        <v>1</v>
      </c>
      <c r="AI20" s="2" cm="1">
        <f t="array" ref="AI20">INDEX(Table8[P], MATCH(Table7[[#This Row],[Recipe]], Table8[Recipe], 0) + 3)</f>
        <v>0.05</v>
      </c>
      <c r="AJ20" t="str" cm="1">
        <f t="array" ref="AJ20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"astra-vulcanic-asteroid-chunk", amount_min = 1, amount_max = 1, probability = 0.05 }</v>
      </c>
      <c r="AK20" t="str" cm="1">
        <f t="array" ref="AK20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"stone", amount_min = 0, amount_max = 0, probability = 1 }</v>
      </c>
      <c r="AL20" t="str" cm="1">
        <f t="array" ref="AL20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"tungsten-ore", amount_min = 10, amount_max = 14, probability = 1 }</v>
      </c>
      <c r="AM20" t="str" cm="1">
        <f t="array" ref="AM20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"astra-nauvis-asteroid-chunk", amount_min = 1, amount_max = 1, probability = 0.05 }</v>
      </c>
      <c r="AN20" s="14" t="str" cm="1">
        <f t="array" ref="AN20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"astra-vulcanic-asteroid-chunk", amount = 1 } }</v>
      </c>
      <c r="AO20" s="14" t="str" cm="1">
        <f t="array" ref="AO20" xml:space="preserve"> "{ 
    " &amp; _xlfn.TEXTJOIN(", 
    ", TRUE, _xlfn._xlws.FILTER(Table7[[#This Row],[Results 1]:[Results 4]], IFERROR(--Table7[[#This Row],[Results 1]:[Results 4]], TRUE))) &amp; " 
}"</f>
        <v>{ 
    { type = "item", name = "astra-vulcanic-asteroid-chunk", amount_min = 1, amount_max = 1, probability = 0.05 }, 
    { type = "item", name = "stone", amount_min = 0, amount_max = 0, probability = 1 }, 
    { type = "item", name = "tungsten-ore", amount_min = 10, amount_max = 14, probability = 1 }, 
    { type = "item", name = "astra-nauvis-asteroid-chunk", amount_min = 1, amount_max = 1, probability = 0.05 } 
}</v>
      </c>
      <c r="AP20" s="15" t="str" cm="1">
        <f t="array" ref="AP20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vulcanis_asteroid_chunk_crushing_adv.name = "astra-advanced-vulcanis-asteroid-crushing"
vulcanis_asteroid_chunk_crushing_adv.icon = "__Astra-Asteroids__/graphics/vulcanus_crushing_basic.png"
vulcanis_asteroid_chunk_crushing_adv.order = "i[vulcanus].b[adv]"
vulcanis_asteroid_chunk_crushing_adv.enabled = false
vulcanis_asteroid_chunk_crushing_adv.energy_required = 5
vulcanis_asteroid_chunk_crushing_adv.ingredients = { { type = "item", name = "astra-vulcanic-asteroid-chunk", amount = 1 } }
vulcanis_asteroid_chunk_crushing_adv.results = { 
    { type = "item", name = "astra-vulcanic-asteroid-chunk", amount_min = 1, amount_max = 1, probability = 0.05 }, 
    { type = "item", name = "stone", amount_min = 0, amount_max = 0, probability = 1 }, 
    { type = "item", name = "tungsten-ore", amount_min = 10, amount_max = 14, probability = 1 }, 
    { type = "item", name = "astra-nauvis-asteroid-chunk", amount_min = 1, amount_max = 1, probability = 0.05 } 
}</v>
      </c>
    </row>
    <row r="21" spans="3:42" ht="18.75" customHeight="1">
      <c r="C21" t="s">
        <v>46</v>
      </c>
      <c r="E21" s="2" t="b">
        <f>OR(ISNUMBER(SEARCH("Adv", Table7[[#This Row],[Recipe]])), ISNUMBER(SEARCH("Special", Table7[[#This Row],[Recipe]])))</f>
        <v>1</v>
      </c>
      <c r="F21" s="2" t="s">
        <v>178</v>
      </c>
      <c r="G21" s="2" t="s">
        <v>242</v>
      </c>
      <c r="H21" s="18" t="s">
        <v>185</v>
      </c>
      <c r="I21" s="2" t="s">
        <v>359</v>
      </c>
      <c r="J21" s="2" t="s">
        <v>38</v>
      </c>
      <c r="K21" s="2">
        <v>5</v>
      </c>
      <c r="L21" s="16" t="s">
        <v>225</v>
      </c>
      <c r="M21" s="16"/>
      <c r="N21" s="2">
        <v>1</v>
      </c>
      <c r="P21" s="2" t="str" cm="1">
        <f t="array" ref="P21">INDEX(Table8[type], MATCH(Table7[[#This Row],[Recipe]], Table8[Recipe], 0) + 0)</f>
        <v>item</v>
      </c>
      <c r="Q21" s="2" t="str" cm="1">
        <f t="array" ref="Q21">INDEX(Table8[name], MATCH(Table7[[#This Row],[Recipe]], Table8[Recipe], 0) + 0)</f>
        <v>astra-nauvis-asteroid-chunk</v>
      </c>
      <c r="R21" s="2" cm="1">
        <f t="array" ref="R21">INDEX(Table8[amount_min], MATCH(Table7[[#This Row],[Recipe]], Table8[Recipe], 0) + 0)</f>
        <v>1</v>
      </c>
      <c r="S21" s="2" cm="1">
        <f t="array" ref="S21">INDEX(Table8[amount_max], MATCH(Table7[[#This Row],[Recipe]], Table8[Recipe], 0) + 0)</f>
        <v>1</v>
      </c>
      <c r="T21" s="2" cm="1">
        <f t="array" ref="T21">INDEX(Table8[P], MATCH(Table7[[#This Row],[Recipe]], Table8[Recipe], 0) + 0)</f>
        <v>0.05</v>
      </c>
      <c r="U21" s="2" t="str" cm="1">
        <f t="array" ref="U21">INDEX(Table8[type], MATCH(Table7[[#This Row],[Recipe]], Table8[Recipe], 0) + 1)</f>
        <v>item</v>
      </c>
      <c r="V21" s="2" t="str" cm="1">
        <f t="array" ref="V21">INDEX(Table8[name], MATCH(Table7[[#This Row],[Recipe]], Table8[Recipe], 0) + 1)</f>
        <v>stone</v>
      </c>
      <c r="W21" s="2" cm="1">
        <f t="array" ref="W21">INDEX(Table8[amount_min], MATCH(Table7[[#This Row],[Recipe]], Table8[Recipe], 0) + 1)</f>
        <v>0</v>
      </c>
      <c r="X21" s="2" cm="1">
        <f t="array" ref="X21">INDEX(Table8[amount_max], MATCH(Table7[[#This Row],[Recipe]], Table8[Recipe], 0) + 1)</f>
        <v>0</v>
      </c>
      <c r="Y21" s="2" cm="1">
        <f t="array" ref="Y21">INDEX(Table8[P], MATCH(Table7[[#This Row],[Recipe]], Table8[Recipe], 0) + 1)</f>
        <v>1</v>
      </c>
      <c r="Z21" s="2" t="str" cm="1">
        <f t="array" ref="Z21">INDEX(Table8[type], MATCH(Table7[[#This Row],[Recipe]], Table8[Recipe], 0) + 2)</f>
        <v>item</v>
      </c>
      <c r="AA21" s="2" t="str" cm="1">
        <f t="array" ref="AA21">INDEX(Table8[name], MATCH(Table7[[#This Row],[Recipe]], Table8[Recipe], 0) + 2)</f>
        <v>uranium-235</v>
      </c>
      <c r="AB21" s="2" cm="1">
        <f t="array" ref="AB21">INDEX(Table8[amount_min], MATCH(Table7[[#This Row],[Recipe]], Table8[Recipe], 0) + 2)</f>
        <v>1</v>
      </c>
      <c r="AC21" s="2" cm="1">
        <f t="array" ref="AC21">INDEX(Table8[amount_max], MATCH(Table7[[#This Row],[Recipe]], Table8[Recipe], 0) + 2)</f>
        <v>1</v>
      </c>
      <c r="AD21" s="2" cm="1">
        <f t="array" ref="AD21">INDEX(Table8[P], MATCH(Table7[[#This Row],[Recipe]], Table8[Recipe], 0) + 2)</f>
        <v>0.3</v>
      </c>
      <c r="AE21" s="2" t="str" cm="1">
        <f t="array" ref="AE21">INDEX(Table8[type], MATCH(Table7[[#This Row],[Recipe]], Table8[Recipe], 0) + 3)</f>
        <v>item</v>
      </c>
      <c r="AF21" s="16" t="str" cm="1">
        <f t="array" ref="AF21">INDEX(Table8[name], MATCH(Table7[[#This Row],[Recipe]], Table8[Recipe], 0) + 3)</f>
        <v>uranium-238</v>
      </c>
      <c r="AG21" s="2" cm="1">
        <f t="array" ref="AG21">INDEX(Table8[amount_min], MATCH(Table7[[#This Row],[Recipe]], Table8[Recipe], 0) + 3)</f>
        <v>3</v>
      </c>
      <c r="AH21" s="2" cm="1">
        <f t="array" ref="AH21">INDEX(Table8[amount_max], MATCH(Table7[[#This Row],[Recipe]], Table8[Recipe], 0) + 3)</f>
        <v>5</v>
      </c>
      <c r="AI21" s="2" cm="1">
        <f t="array" ref="AI21">INDEX(Table8[P], MATCH(Table7[[#This Row],[Recipe]], Table8[Recipe], 0) + 3)</f>
        <v>1</v>
      </c>
      <c r="AJ21" t="str" cm="1">
        <f t="array" ref="AJ21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"astra-nauvis-asteroid-chunk", amount_min = 1, amount_max = 1, probability = 0.05 }</v>
      </c>
      <c r="AK21" t="str" cm="1">
        <f t="array" ref="AK21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"stone", amount_min = 0, amount_max = 0, probability = 1 }</v>
      </c>
      <c r="AL21" t="str" cm="1">
        <f t="array" ref="AL21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"uranium-235", amount_min = 1, amount_max = 1, probability = 0.3 }</v>
      </c>
      <c r="AM21" t="str" cm="1">
        <f t="array" ref="AM21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"uranium-238", amount_min = 3, amount_max = 5, probability = 1 }</v>
      </c>
      <c r="AN21" s="14" t="str" cm="1">
        <f t="array" ref="AN21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"astra-nauvis-asteroid-chunk", amount = 1 } }</v>
      </c>
      <c r="AO21" s="14" t="str" cm="1">
        <f t="array" ref="AO21" xml:space="preserve"> "{ 
    " &amp; _xlfn.TEXTJOIN(", 
    ", TRUE, _xlfn._xlws.FILTER(Table7[[#This Row],[Results 1]:[Results 4]], IFERROR(--Table7[[#This Row],[Results 1]:[Results 4]], TRUE))) &amp; " 
}"</f>
        <v>{ 
    { type = "item", name = "astra-nauvis-asteroid-chunk", amount_min = 1, amount_max = 1, probability = 0.05 }, 
    { type = "item", name = "stone", amount_min = 0, amount_max = 0, probability = 1 }, 
    { type = "item", name = "uranium-235", amount_min = 1, amount_max = 1, probability = 0.3 }, 
    { type = "item", name = "uranium-238", amount_min = 3, amount_max = 5, probability = 1 } 
}</v>
      </c>
      <c r="AP21" s="15" t="str" cm="1">
        <f t="array" ref="AP21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nauvis_asteroid_chunk_crushing_adv.name = "astra-advanced-nauvis-asteroid-crushing"
nauvis_asteroid_chunk_crushing_adv.icon = "__Astra-Asteroids__/graphics/nauvis_crushing_basic.png"
nauvis_asteroid_chunk_crushing_adv.order = "h[nauvis].b[adv]"
nauvis_asteroid_chunk_crushing_adv.enabled = false
nauvis_asteroid_chunk_crushing_adv.energy_required = 5
nauvis_asteroid_chunk_crushing_adv.ingredients = { { type = "item", name = "astra-nauvis-asteroid-chunk", amount = 1 } }
nauvis_asteroid_chunk_crushing_adv.results = { 
    { type = "item", name = "astra-nauvis-asteroid-chunk", amount_min = 1, amount_max = 1, probability = 0.05 }, 
    { type = "item", name = "stone", amount_min = 0, amount_max = 0, probability = 1 }, 
    { type = "item", name = "uranium-235", amount_min = 1, amount_max = 1, probability = 0.3 }, 
    { type = "item", name = "uranium-238", amount_min = 3, amount_max = 5, probability = 1 } 
}</v>
      </c>
    </row>
    <row r="22" spans="3:42" ht="18.75" customHeight="1">
      <c r="C22" t="s">
        <v>161</v>
      </c>
      <c r="E22" s="2" t="b">
        <f>OR(ISNUMBER(SEARCH("Adv", Table7[[#This Row],[Recipe]])), ISNUMBER(SEARCH("Special", Table7[[#This Row],[Recipe]])))</f>
        <v>1</v>
      </c>
      <c r="F22" s="2" t="s">
        <v>197</v>
      </c>
      <c r="G22" s="2" t="s">
        <v>243</v>
      </c>
      <c r="H22" s="18" t="s">
        <v>186</v>
      </c>
      <c r="I22" s="2" t="s">
        <v>361</v>
      </c>
      <c r="J22" s="2" t="s">
        <v>38</v>
      </c>
      <c r="K22" s="2">
        <v>5</v>
      </c>
      <c r="L22" s="16" t="s">
        <v>226</v>
      </c>
      <c r="M22" s="16"/>
      <c r="N22" s="2">
        <v>1</v>
      </c>
      <c r="P22" s="2" t="str" cm="1">
        <f t="array" ref="P22">INDEX(Table8[type], MATCH(Table7[[#This Row],[Recipe]], Table8[Recipe], 0) + 0)</f>
        <v>item</v>
      </c>
      <c r="Q22" s="2" t="str" cm="1">
        <f t="array" ref="Q22">INDEX(Table8[name], MATCH(Table7[[#This Row],[Recipe]], Table8[Recipe], 0) + 0)</f>
        <v>astra-gleba-asteroid-chunk</v>
      </c>
      <c r="R22" s="2" cm="1">
        <f t="array" ref="R22">INDEX(Table8[amount_min], MATCH(Table7[[#This Row],[Recipe]], Table8[Recipe], 0) + 0)</f>
        <v>1</v>
      </c>
      <c r="S22" s="2" cm="1">
        <f t="array" ref="S22">INDEX(Table8[amount_max], MATCH(Table7[[#This Row],[Recipe]], Table8[Recipe], 0) + 0)</f>
        <v>1</v>
      </c>
      <c r="T22" s="2" cm="1">
        <f t="array" ref="T22">INDEX(Table8[P], MATCH(Table7[[#This Row],[Recipe]], Table8[Recipe], 0) + 0)</f>
        <v>0.05</v>
      </c>
      <c r="U22" s="2" t="str" cm="1">
        <f t="array" ref="U22">INDEX(Table8[type], MATCH(Table7[[#This Row],[Recipe]], Table8[Recipe], 0) + 1)</f>
        <v>item</v>
      </c>
      <c r="V22" s="2" t="str" cm="1">
        <f t="array" ref="V22">INDEX(Table8[name], MATCH(Table7[[#This Row],[Recipe]], Table8[Recipe], 0) + 1)</f>
        <v>jellynut-seed</v>
      </c>
      <c r="W22" s="2" cm="1">
        <f t="array" ref="W22">INDEX(Table8[amount_min], MATCH(Table7[[#This Row],[Recipe]], Table8[Recipe], 0) + 1)</f>
        <v>1</v>
      </c>
      <c r="X22" s="2" cm="1">
        <f t="array" ref="X22">INDEX(Table8[amount_max], MATCH(Table7[[#This Row],[Recipe]], Table8[Recipe], 0) + 1)</f>
        <v>2</v>
      </c>
      <c r="Y22" s="2" cm="1">
        <f t="array" ref="Y22">INDEX(Table8[P], MATCH(Table7[[#This Row],[Recipe]], Table8[Recipe], 0) + 1)</f>
        <v>0.3</v>
      </c>
      <c r="Z22" s="2" t="str" cm="1">
        <f t="array" ref="Z22">INDEX(Table8[type], MATCH(Table7[[#This Row],[Recipe]], Table8[Recipe], 0) + 2)</f>
        <v>item</v>
      </c>
      <c r="AA22" s="2" t="str" cm="1">
        <f t="array" ref="AA22">INDEX(Table8[name], MATCH(Table7[[#This Row],[Recipe]], Table8[Recipe], 0) + 2)</f>
        <v>spoilage</v>
      </c>
      <c r="AB22" s="2" cm="1">
        <f t="array" ref="AB22">INDEX(Table8[amount_min], MATCH(Table7[[#This Row],[Recipe]], Table8[Recipe], 0) + 2)</f>
        <v>10</v>
      </c>
      <c r="AC22" s="2" cm="1">
        <f t="array" ref="AC22">INDEX(Table8[amount_max], MATCH(Table7[[#This Row],[Recipe]], Table8[Recipe], 0) + 2)</f>
        <v>20</v>
      </c>
      <c r="AD22" s="2" cm="1">
        <f t="array" ref="AD22">INDEX(Table8[P], MATCH(Table7[[#This Row],[Recipe]], Table8[Recipe], 0) + 2)</f>
        <v>1</v>
      </c>
      <c r="AE22" s="2" t="str" cm="1">
        <f t="array" ref="AE22">INDEX(Table8[type], MATCH(Table7[[#This Row],[Recipe]], Table8[Recipe], 0) + 3)</f>
        <v>item</v>
      </c>
      <c r="AF22" s="16" t="str" cm="1">
        <f t="array" ref="AF22">INDEX(Table8[name], MATCH(Table7[[#This Row],[Recipe]], Table8[Recipe], 0) + 3)</f>
        <v>yumako-seed</v>
      </c>
      <c r="AG22" s="2" cm="1">
        <f t="array" ref="AG22">INDEX(Table8[amount_min], MATCH(Table7[[#This Row],[Recipe]], Table8[Recipe], 0) + 3)</f>
        <v>1</v>
      </c>
      <c r="AH22" s="2" cm="1">
        <f t="array" ref="AH22">INDEX(Table8[amount_max], MATCH(Table7[[#This Row],[Recipe]], Table8[Recipe], 0) + 3)</f>
        <v>2</v>
      </c>
      <c r="AI22" s="2" cm="1">
        <f t="array" ref="AI22">INDEX(Table8[P], MATCH(Table7[[#This Row],[Recipe]], Table8[Recipe], 0) + 3)</f>
        <v>0.3</v>
      </c>
      <c r="AJ22" t="str" cm="1">
        <f t="array" ref="AJ22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"astra-gleba-asteroid-chunk", amount_min = 1, amount_max = 1, probability = 0.05 }</v>
      </c>
      <c r="AK22" t="str" cm="1">
        <f t="array" ref="AK22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"jellynut-seed", amount_min = 1, amount_max = 2, probability = 0.3 }</v>
      </c>
      <c r="AL22" t="str" cm="1">
        <f t="array" ref="AL22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"spoilage", amount_min = 10, amount_max = 20, probability = 1 }</v>
      </c>
      <c r="AM22" t="str" cm="1">
        <f t="array" ref="AM22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"yumako-seed", amount_min = 1, amount_max = 2, probability = 0.3 }</v>
      </c>
      <c r="AN22" s="14" t="str" cm="1">
        <f t="array" ref="AN22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"astra-gleba-asteroid-chunk", amount = 1 } }</v>
      </c>
      <c r="AO22" s="14" t="str" cm="1">
        <f t="array" ref="AO22" xml:space="preserve"> "{ 
    " &amp; _xlfn.TEXTJOIN(", 
    ", TRUE, _xlfn._xlws.FILTER(Table7[[#This Row],[Results 1]:[Results 4]], IFERROR(--Table7[[#This Row],[Results 1]:[Results 4]], TRUE))) &amp; " 
}"</f>
        <v>{ 
    { type = "item", name = "astra-gleba-asteroid-chunk", amount_min = 1, amount_max = 1, probability = 0.05 }, 
    { type = "item", name = "jellynut-seed", amount_min = 1, amount_max = 2, probability = 0.3 }, 
    { type = "item", name = "spoilage", amount_min = 10, amount_max = 20, probability = 1 }, 
    { type = "item", name = "yumako-seed", amount_min = 1, amount_max = 2, probability = 0.3 } 
}</v>
      </c>
      <c r="AP22" s="15" t="str" cm="1">
        <f t="array" ref="AP22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gleba_asteroid_chunk_crushing_adv.name = "astra-advanced-gleba-asteroid-crushing"
gleba_asteroid_chunk_crushing_adv.icon = "__Astra-Asteroids__/graphics/gleba_crushing_basic.png"
gleba_asteroid_chunk_crushing_adv.order = "j[gleba].b[adv]"
gleba_asteroid_chunk_crushing_adv.enabled = false
gleba_asteroid_chunk_crushing_adv.energy_required = 5
gleba_asteroid_chunk_crushing_adv.ingredients = { { type = "item", name = "astra-gleba-asteroid-chunk", amount = 1 } }
gleba_asteroid_chunk_crushing_adv.results = { 
    { type = "item", name = "astra-gleba-asteroid-chunk", amount_min = 1, amount_max = 1, probability = 0.05 }, 
    { type = "item", name = "jellynut-seed", amount_min = 1, amount_max = 2, probability = 0.3 }, 
    { type = "item", name = "spoilage", amount_min = 10, amount_max = 20, probability = 1 }, 
    { type = "item", name = "yumako-seed", amount_min = 1, amount_max = 2, probability = 0.3 } 
}</v>
      </c>
    </row>
    <row r="23" spans="3:42" ht="18.75" customHeight="1">
      <c r="C23" t="s">
        <v>162</v>
      </c>
      <c r="E23" s="2" t="b">
        <f>OR(ISNUMBER(SEARCH("Adv", Table7[[#This Row],[Recipe]])), ISNUMBER(SEARCH("Special", Table7[[#This Row],[Recipe]])))</f>
        <v>1</v>
      </c>
      <c r="F23" s="2" t="s">
        <v>179</v>
      </c>
      <c r="G23" s="2" t="s">
        <v>244</v>
      </c>
      <c r="H23" s="18" t="s">
        <v>183</v>
      </c>
      <c r="I23" s="2" t="s">
        <v>360</v>
      </c>
      <c r="J23" s="2" t="s">
        <v>38</v>
      </c>
      <c r="K23" s="2">
        <v>5</v>
      </c>
      <c r="L23" s="16" t="s">
        <v>227</v>
      </c>
      <c r="M23" s="16"/>
      <c r="N23" s="2">
        <v>1</v>
      </c>
      <c r="P23" s="2" t="str" cm="1">
        <f t="array" ref="P23">INDEX(Table8[type], MATCH(Table7[[#This Row],[Recipe]], Table8[Recipe], 0) + 0)</f>
        <v>item</v>
      </c>
      <c r="Q23" s="2" t="str" cm="1">
        <f t="array" ref="Q23">INDEX(Table8[name], MATCH(Table7[[#This Row],[Recipe]], Table8[Recipe], 0) + 0)</f>
        <v>astra-fulgoran-asteroid-chunk</v>
      </c>
      <c r="R23" s="2" cm="1">
        <f t="array" ref="R23">INDEX(Table8[amount_min], MATCH(Table7[[#This Row],[Recipe]], Table8[Recipe], 0) + 0)</f>
        <v>1</v>
      </c>
      <c r="S23" s="2" cm="1">
        <f t="array" ref="S23">INDEX(Table8[amount_max], MATCH(Table7[[#This Row],[Recipe]], Table8[Recipe], 0) + 0)</f>
        <v>1</v>
      </c>
      <c r="T23" s="2" cm="1">
        <f t="array" ref="T23">INDEX(Table8[P], MATCH(Table7[[#This Row],[Recipe]], Table8[Recipe], 0) + 0)</f>
        <v>0.05</v>
      </c>
      <c r="U23" s="2" t="str" cm="1">
        <f t="array" ref="U23">INDEX(Table8[type], MATCH(Table7[[#This Row],[Recipe]], Table8[Recipe], 0) + 1)</f>
        <v>item</v>
      </c>
      <c r="V23" s="2" t="str" cm="1">
        <f t="array" ref="V23">INDEX(Table8[name], MATCH(Table7[[#This Row],[Recipe]], Table8[Recipe], 0) + 1)</f>
        <v>holmium-ore</v>
      </c>
      <c r="W23" s="2" cm="1">
        <f t="array" ref="W23">INDEX(Table8[amount_min], MATCH(Table7[[#This Row],[Recipe]], Table8[Recipe], 0) + 1)</f>
        <v>1</v>
      </c>
      <c r="X23" s="2" cm="1">
        <f t="array" ref="X23">INDEX(Table8[amount_max], MATCH(Table7[[#This Row],[Recipe]], Table8[Recipe], 0) + 1)</f>
        <v>2</v>
      </c>
      <c r="Y23" s="2" cm="1">
        <f t="array" ref="Y23">INDEX(Table8[P], MATCH(Table7[[#This Row],[Recipe]], Table8[Recipe], 0) + 1)</f>
        <v>0.4</v>
      </c>
      <c r="Z23" s="2" t="str" cm="1">
        <f t="array" ref="Z23">INDEX(Table8[type], MATCH(Table7[[#This Row],[Recipe]], Table8[Recipe], 0) + 2)</f>
        <v>item</v>
      </c>
      <c r="AA23" s="2" t="str" cm="1">
        <f t="array" ref="AA23">INDEX(Table8[name], MATCH(Table7[[#This Row],[Recipe]], Table8[Recipe], 0) + 2)</f>
        <v>scrap</v>
      </c>
      <c r="AB23" s="2" cm="1">
        <f t="array" ref="AB23">INDEX(Table8[amount_min], MATCH(Table7[[#This Row],[Recipe]], Table8[Recipe], 0) + 2)</f>
        <v>10</v>
      </c>
      <c r="AC23" s="2" cm="1">
        <f t="array" ref="AC23">INDEX(Table8[amount_max], MATCH(Table7[[#This Row],[Recipe]], Table8[Recipe], 0) + 2)</f>
        <v>15</v>
      </c>
      <c r="AD23" s="2" cm="1">
        <f t="array" ref="AD23">INDEX(Table8[P], MATCH(Table7[[#This Row],[Recipe]], Table8[Recipe], 0) + 2)</f>
        <v>1</v>
      </c>
      <c r="AE23" s="2" t="str" cm="1">
        <f t="array" ref="AE23">INDEX(Table8[type], MATCH(Table7[[#This Row],[Recipe]], Table8[Recipe], 0) + 3)</f>
        <v>item</v>
      </c>
      <c r="AF23" s="16" t="str" cm="1">
        <f t="array" ref="AF23">INDEX(Table8[name], MATCH(Table7[[#This Row],[Recipe]], Table8[Recipe], 0) + 3)</f>
        <v>stone</v>
      </c>
      <c r="AG23" s="2" cm="1">
        <f t="array" ref="AG23">INDEX(Table8[amount_min], MATCH(Table7[[#This Row],[Recipe]], Table8[Recipe], 0) + 3)</f>
        <v>0</v>
      </c>
      <c r="AH23" s="2" cm="1">
        <f t="array" ref="AH23">INDEX(Table8[amount_max], MATCH(Table7[[#This Row],[Recipe]], Table8[Recipe], 0) + 3)</f>
        <v>0</v>
      </c>
      <c r="AI23" s="2" cm="1">
        <f t="array" ref="AI23">INDEX(Table8[P], MATCH(Table7[[#This Row],[Recipe]], Table8[Recipe], 0) + 3)</f>
        <v>1</v>
      </c>
      <c r="AJ23" t="str" cm="1">
        <f t="array" ref="AJ23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"astra-fulgoran-asteroid-chunk", amount_min = 1, amount_max = 1, probability = 0.05 }</v>
      </c>
      <c r="AK23" t="str" cm="1">
        <f t="array" ref="AK23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"holmium-ore", amount_min = 1, amount_max = 2, probability = 0.4 }</v>
      </c>
      <c r="AL23" t="str" cm="1">
        <f t="array" ref="AL23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"scrap", amount_min = 10, amount_max = 15, probability = 1 }</v>
      </c>
      <c r="AM23" t="str" cm="1">
        <f t="array" ref="AM23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"stone", amount_min = 0, amount_max = 0, probability = 1 }</v>
      </c>
      <c r="AN23" s="14" t="str" cm="1">
        <f t="array" ref="AN23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"astra-fulgoran-asteroid-chunk", amount = 1 } }</v>
      </c>
      <c r="AO23" s="14" t="str" cm="1">
        <f t="array" ref="AO23" xml:space="preserve"> "{ 
    " &amp; _xlfn.TEXTJOIN(", 
    ", TRUE, _xlfn._xlws.FILTER(Table7[[#This Row],[Results 1]:[Results 4]], IFERROR(--Table7[[#This Row],[Results 1]:[Results 4]], TRUE))) &amp; " 
}"</f>
        <v>{ 
    { type = "item", name = "astra-fulgoran-asteroid-chunk", amount_min = 1, amount_max = 1, probability = 0.05 }, 
    { type = "item", name = "holmium-ore", amount_min = 1, amount_max = 2, probability = 0.4 }, 
    { type = "item", name = "scrap", amount_min = 10, amount_max = 15, probability = 1 }, 
    { type = "item", name = "stone", amount_min = 0, amount_max = 0, probability = 1 } 
}</v>
      </c>
      <c r="AP23" s="15" t="str" cm="1">
        <f t="array" ref="AP23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fulgoran_asteroid_chunk_crushing_adv.name = "astra-advanced-fulgoran-asteroid-crushing"
fulgoran_asteroid_chunk_crushing_adv.icon = "__Astra-Asteroids__/graphics/fulgora_crushing_basic.png"
fulgoran_asteroid_chunk_crushing_adv.order = "k[fulgora].b[adv]"
fulgoran_asteroid_chunk_crushing_adv.enabled = false
fulgoran_asteroid_chunk_crushing_adv.energy_required = 5
fulgoran_asteroid_chunk_crushing_adv.ingredients = { { type = "item", name = "astra-fulgoran-asteroid-chunk", amount = 1 } }
fulgoran_asteroid_chunk_crushing_adv.results = { 
    { type = "item", name = "astra-fulgoran-asteroid-chunk", amount_min = 1, amount_max = 1, probability = 0.05 }, 
    { type = "item", name = "holmium-ore", amount_min = 1, amount_max = 2, probability = 0.4 }, 
    { type = "item", name = "scrap", amount_min = 10, amount_max = 15, probability = 1 }, 
    { type = "item", name = "stone", amount_min = 0, amount_max = 0, probability = 1 } 
}</v>
      </c>
    </row>
    <row r="24" spans="3:42" ht="18.75" customHeight="1">
      <c r="C24" t="s">
        <v>233</v>
      </c>
      <c r="E24" s="2" t="b">
        <f>OR(ISNUMBER(SEARCH("Adv", Table7[[#This Row],[Recipe]])), ISNUMBER(SEARCH("Special", Table7[[#This Row],[Recipe]])))</f>
        <v>1</v>
      </c>
      <c r="F24" s="2" t="s">
        <v>234</v>
      </c>
      <c r="G24" s="2" t="s">
        <v>235</v>
      </c>
      <c r="H24" s="2" t="s">
        <v>187</v>
      </c>
      <c r="I24" s="2" t="s">
        <v>358</v>
      </c>
      <c r="J24" s="2" t="s">
        <v>38</v>
      </c>
      <c r="K24" s="2">
        <v>5</v>
      </c>
      <c r="L24" s="16" t="s">
        <v>223</v>
      </c>
      <c r="M24" s="16"/>
      <c r="N24" s="2">
        <v>1</v>
      </c>
      <c r="P24" s="2" t="str" cm="1">
        <f t="array" ref="P24">INDEX(Table8[type], MATCH(Table7[[#This Row],[Recipe]], Table8[Recipe], 0) + 0)</f>
        <v>item</v>
      </c>
      <c r="Q24" s="2" t="str" cm="1">
        <f t="array" ref="Q24">INDEX(Table8[name], MATCH(Table7[[#This Row],[Recipe]], Table8[Recipe], 0) + 0)</f>
        <v>astra-crude-asteroid-chunk</v>
      </c>
      <c r="R24" s="2" cm="1">
        <f t="array" ref="R24">INDEX(Table8[amount_min], MATCH(Table7[[#This Row],[Recipe]], Table8[Recipe], 0) + 0)</f>
        <v>1</v>
      </c>
      <c r="S24" s="2" cm="1">
        <f t="array" ref="S24">INDEX(Table8[amount_max], MATCH(Table7[[#This Row],[Recipe]], Table8[Recipe], 0) + 0)</f>
        <v>1</v>
      </c>
      <c r="T24" s="2" cm="1">
        <f t="array" ref="T24">INDEX(Table8[P], MATCH(Table7[[#This Row],[Recipe]], Table8[Recipe], 0) + 0)</f>
        <v>0.05</v>
      </c>
      <c r="U24" s="2" t="str" cm="1">
        <f t="array" ref="U24">INDEX(Table8[type], MATCH(Table7[[#This Row],[Recipe]], Table8[Recipe], 0) + 1)</f>
        <v>item</v>
      </c>
      <c r="V24" s="2" t="str" cm="1">
        <f t="array" ref="V24">INDEX(Table8[name], MATCH(Table7[[#This Row],[Recipe]], Table8[Recipe], 0) + 1)</f>
        <v>astra-oilstone</v>
      </c>
      <c r="W24" s="2" cm="1">
        <f t="array" ref="W24">INDEX(Table8[amount_min], MATCH(Table7[[#This Row],[Recipe]], Table8[Recipe], 0) + 1)</f>
        <v>5</v>
      </c>
      <c r="X24" s="2" cm="1">
        <f t="array" ref="X24">INDEX(Table8[amount_max], MATCH(Table7[[#This Row],[Recipe]], Table8[Recipe], 0) + 1)</f>
        <v>8</v>
      </c>
      <c r="Y24" s="2" cm="1">
        <f t="array" ref="Y24">INDEX(Table8[P], MATCH(Table7[[#This Row],[Recipe]], Table8[Recipe], 0) + 1)</f>
        <v>1</v>
      </c>
      <c r="Z24" s="2" t="str" cm="1">
        <f t="array" ref="Z24">INDEX(Table8[type], MATCH(Table7[[#This Row],[Recipe]], Table8[Recipe], 0) + 2)</f>
        <v>item</v>
      </c>
      <c r="AA24" s="2" t="str" cm="1">
        <f t="array" ref="AA24">INDEX(Table8[name], MATCH(Table7[[#This Row],[Recipe]], Table8[Recipe], 0) + 2)</f>
        <v>coal</v>
      </c>
      <c r="AB24" s="2" cm="1">
        <f t="array" ref="AB24">INDEX(Table8[amount_min], MATCH(Table7[[#This Row],[Recipe]], Table8[Recipe], 0) + 2)</f>
        <v>5</v>
      </c>
      <c r="AC24" s="2" cm="1">
        <f t="array" ref="AC24">INDEX(Table8[amount_max], MATCH(Table7[[#This Row],[Recipe]], Table8[Recipe], 0) + 2)</f>
        <v>8</v>
      </c>
      <c r="AD24" s="2" cm="1">
        <f t="array" ref="AD24">INDEX(Table8[P], MATCH(Table7[[#This Row],[Recipe]], Table8[Recipe], 0) + 2)</f>
        <v>1</v>
      </c>
      <c r="AE24" s="2" t="str" cm="1">
        <f t="array" ref="AE24">INDEX(Table8[type], MATCH(Table7[[#This Row],[Recipe]], Table8[Recipe], 0) + 3)</f>
        <v>fluid</v>
      </c>
      <c r="AF24" s="2" t="str" cm="1">
        <f t="array" ref="AF24">INDEX(Table8[name], MATCH(Table7[[#This Row],[Recipe]], Table8[Recipe], 0) + 3)</f>
        <v>lava</v>
      </c>
      <c r="AG24" s="2" cm="1">
        <f t="array" ref="AG24">INDEX(Table8[amount_min], MATCH(Table7[[#This Row],[Recipe]], Table8[Recipe], 0) + 3)</f>
        <v>2000</v>
      </c>
      <c r="AH24" s="2" cm="1">
        <f t="array" ref="AH24">INDEX(Table8[amount_max], MATCH(Table7[[#This Row],[Recipe]], Table8[Recipe], 0) + 3)</f>
        <v>2000</v>
      </c>
      <c r="AI24" s="2" cm="1">
        <f t="array" ref="AI24">INDEX(Table8[P], MATCH(Table7[[#This Row],[Recipe]], Table8[Recipe], 0) + 3)</f>
        <v>1</v>
      </c>
      <c r="AJ24" t="str" cm="1">
        <f t="array" ref="AJ24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"astra-crude-asteroid-chunk", amount_min = 1, amount_max = 1, probability = 0.05 }</v>
      </c>
      <c r="AK24" t="str" cm="1">
        <f t="array" ref="AK24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"astra-oilstone", amount_min = 5, amount_max = 8, probability = 1 }</v>
      </c>
      <c r="AL24" t="str" cm="1">
        <f t="array" ref="AL24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"coal", amount_min = 5, amount_max = 8, probability = 1 }</v>
      </c>
      <c r="AM24" t="str" cm="1">
        <f t="array" ref="AM24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"fluid", name = "lava", amount_min = 2000, amount_max = 2000, probability = 1 }</v>
      </c>
      <c r="AN24" s="14" t="str" cm="1">
        <f t="array" ref="AN24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"astra-crude-asteroid-chunk", amount = 1 } }</v>
      </c>
      <c r="AO24" s="14" t="str" cm="1">
        <f t="array" ref="AO24" xml:space="preserve"> "{ 
    " &amp; _xlfn.TEXTJOIN(", 
    ", TRUE, _xlfn._xlws.FILTER(Table7[[#This Row],[Results 1]:[Results 4]], IFERROR(--Table7[[#This Row],[Results 1]:[Results 4]], TRUE))) &amp; " 
}"</f>
        <v>{ 
    { type = "item", name = "astra-crude-asteroid-chunk", amount_min = 1, amount_max = 1, probability = 0.05 }, 
    { type = "item", name = "astra-oilstone", amount_min = 5, amount_max = 8, probability = 1 }, 
    { type = "item", name = "coal", amount_min = 5, amount_max = 8, probability = 1 }, 
    { type = "fluid", name = "lava", amount_min = 2000, amount_max = 2000, probability = 1 } 
}</v>
      </c>
      <c r="AP24" s="15" t="str" cm="1">
        <f t="array" ref="AP24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crude_asteroid_chunk_crushing_adv.name = "astra-advanced-crude-asteroid-crushing"
crude_asteroid_chunk_crushing_adv.icon = "__Astra-Asteroids__/graphics/crude_crushing_basic.png"
crude_asteroid_chunk_crushing_adv.order = "g[crude].b[adv]"
crude_asteroid_chunk_crushing_adv.enabled = false
crude_asteroid_chunk_crushing_adv.energy_required = 5
crude_asteroid_chunk_crushing_adv.ingredients = { { type = "item", name = "astra-crude-asteroid-chunk", amount = 1 } }
crude_asteroid_chunk_crushing_adv.results = { 
    { type = "item", name = "astra-crude-asteroid-chunk", amount_min = 1, amount_max = 1, probability = 0.05 }, 
    { type = "item", name = "astra-oilstone", amount_min = 5, amount_max = 8, probability = 1 }, 
    { type = "item", name = "coal", amount_min = 5, amount_max = 8, probability = 1 }, 
    { type = "fluid", name = "lava", amount_min = 2000, amount_max = 2000, probability = 1 } 
}</v>
      </c>
    </row>
    <row r="25" spans="3:42" ht="18.75" customHeight="1">
      <c r="C25" t="s">
        <v>166</v>
      </c>
      <c r="E25" s="2" t="b">
        <f>OR(ISNUMBER(SEARCH("Adv", Table7[[#This Row],[Recipe]])), ISNUMBER(SEARCH("Special", Table7[[#This Row],[Recipe]])))</f>
        <v>1</v>
      </c>
      <c r="F25" s="2" t="s">
        <v>180</v>
      </c>
      <c r="G25" s="2" t="s">
        <v>228</v>
      </c>
      <c r="H25" s="18" t="s">
        <v>184</v>
      </c>
      <c r="I25" s="2" t="s">
        <v>363</v>
      </c>
      <c r="J25" s="2" t="s">
        <v>38</v>
      </c>
      <c r="K25" s="2">
        <v>5</v>
      </c>
      <c r="L25" s="16" t="s">
        <v>224</v>
      </c>
      <c r="M25" s="16" t="s">
        <v>60</v>
      </c>
      <c r="N25" s="2">
        <v>1</v>
      </c>
      <c r="O25" s="2">
        <v>1</v>
      </c>
      <c r="P25" s="2" t="str" cm="1">
        <f t="array" ref="P25">INDEX(Table8[type], MATCH(Table7[[#This Row],[Recipe]], Table8[Recipe], 0) + 0)</f>
        <v>fluid</v>
      </c>
      <c r="Q25" s="2" t="str" cm="1">
        <f t="array" ref="Q25">INDEX(Table8[name], MATCH(Table7[[#This Row],[Recipe]], Table8[Recipe], 0) + 0)</f>
        <v>lava</v>
      </c>
      <c r="R25" s="2" cm="1">
        <f t="array" ref="R25">INDEX(Table8[amount_min], MATCH(Table7[[#This Row],[Recipe]], Table8[Recipe], 0) + 0)</f>
        <v>2000</v>
      </c>
      <c r="S25" s="2" cm="1">
        <f t="array" ref="S25">INDEX(Table8[amount_max], MATCH(Table7[[#This Row],[Recipe]], Table8[Recipe], 0) + 0)</f>
        <v>2000</v>
      </c>
      <c r="T25" s="2" cm="1">
        <f t="array" ref="T25">INDEX(Table8[P], MATCH(Table7[[#This Row],[Recipe]], Table8[Recipe], 0) + 0)</f>
        <v>1</v>
      </c>
      <c r="U25" s="2" t="str" cm="1">
        <f t="array" ref="U25">INDEX(Table8[type], MATCH(Table7[[#This Row],[Recipe]], Table8[Recipe], 0) + 1)</f>
        <v>item</v>
      </c>
      <c r="V25" s="2" t="str" cm="1">
        <f t="array" ref="V25">INDEX(Table8[name], MATCH(Table7[[#This Row],[Recipe]], Table8[Recipe], 0) + 1)</f>
        <v>tungsten-ore</v>
      </c>
      <c r="W25" s="2" cm="1">
        <f t="array" ref="W25">INDEX(Table8[amount_min], MATCH(Table7[[#This Row],[Recipe]], Table8[Recipe], 0) + 1)</f>
        <v>12</v>
      </c>
      <c r="X25" s="2" cm="1">
        <f t="array" ref="X25">INDEX(Table8[amount_max], MATCH(Table7[[#This Row],[Recipe]], Table8[Recipe], 0) + 1)</f>
        <v>12</v>
      </c>
      <c r="Y25" s="2" cm="1">
        <f t="array" ref="Y25">INDEX(Table8[P], MATCH(Table7[[#This Row],[Recipe]], Table8[Recipe], 0) + 1)</f>
        <v>1</v>
      </c>
      <c r="Z25" s="2" t="str" cm="1">
        <f t="array" ref="Z25">INDEX(Table8[type], MATCH(Table7[[#This Row],[Recipe]], Table8[Recipe], 0) + 2)</f>
        <v>fluid</v>
      </c>
      <c r="AA25" s="2" t="str" cm="1">
        <f t="array" ref="AA25">INDEX(Table8[name], MATCH(Table7[[#This Row],[Recipe]], Table8[Recipe], 0) + 2)</f>
        <v>heavy-oil</v>
      </c>
      <c r="AB25" s="2" cm="1">
        <f t="array" ref="AB25">INDEX(Table8[amount_min], MATCH(Table7[[#This Row],[Recipe]], Table8[Recipe], 0) + 2)</f>
        <v>20</v>
      </c>
      <c r="AC25" s="2" cm="1">
        <f t="array" ref="AC25">INDEX(Table8[amount_max], MATCH(Table7[[#This Row],[Recipe]], Table8[Recipe], 0) + 2)</f>
        <v>20</v>
      </c>
      <c r="AD25" s="2" cm="1">
        <f t="array" ref="AD25">INDEX(Table8[P], MATCH(Table7[[#This Row],[Recipe]], Table8[Recipe], 0) + 2)</f>
        <v>1</v>
      </c>
      <c r="AE25" s="2" t="str" cm="1">
        <f t="array" ref="AE25">INDEX(Table8[type], MATCH(Table7[[#This Row],[Recipe]], Table8[Recipe], 0) + 3)</f>
        <v>fluid</v>
      </c>
      <c r="AF25" s="2" t="str" cm="1">
        <f t="array" ref="AF25">INDEX(Table8[name], MATCH(Table7[[#This Row],[Recipe]], Table8[Recipe], 0) + 3)</f>
        <v>holmium-solution</v>
      </c>
      <c r="AG25" s="2" cm="1">
        <f t="array" ref="AG25">INDEX(Table8[amount_min], MATCH(Table7[[#This Row],[Recipe]], Table8[Recipe], 0) + 3)</f>
        <v>20</v>
      </c>
      <c r="AH25" s="2" cm="1">
        <f t="array" ref="AH25">INDEX(Table8[amount_max], MATCH(Table7[[#This Row],[Recipe]], Table8[Recipe], 0) + 3)</f>
        <v>20</v>
      </c>
      <c r="AI25" s="2" cm="1">
        <f t="array" ref="AI25">INDEX(Table8[P], MATCH(Table7[[#This Row],[Recipe]], Table8[Recipe], 0) + 3)</f>
        <v>1</v>
      </c>
      <c r="AJ25" t="str" cm="1">
        <f t="array" ref="AJ25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"fluid", name = "lava", amount_min = 2000, amount_max = 2000, probability = 1 }</v>
      </c>
      <c r="AK25" t="str" cm="1">
        <f t="array" ref="AK25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"tungsten-ore", amount_min = 12, amount_max = 12, probability = 1 }</v>
      </c>
      <c r="AL25" t="str" cm="1">
        <f t="array" ref="AL25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"fluid", name = "heavy-oil", amount_min = 20, amount_max = 20, probability = 1 }</v>
      </c>
      <c r="AM25" t="str" cm="1">
        <f t="array" ref="AM25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"fluid", name = "holmium-solution", amount_min = 20, amount_max = 20, probability = 1 }</v>
      </c>
      <c r="AN25" s="14" t="str" cm="1">
        <f t="array" ref="AN25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"astra-vulcanic-asteroid-chunk", amount = 1 }, { type = "item", name = "metallic-astroid-chunk", amount = 1 } }</v>
      </c>
      <c r="AO25" s="14" t="str" cm="1">
        <f t="array" ref="AO25" xml:space="preserve"> "{ 
    " &amp; _xlfn.TEXTJOIN(", 
    ", TRUE, _xlfn._xlws.FILTER(Table7[[#This Row],[Results 1]:[Results 4]], IFERROR(--Table7[[#This Row],[Results 1]:[Results 4]], TRUE))) &amp; " 
}"</f>
        <v>{ 
    { type = "fluid", name = "lava", amount_min = 2000, amount_max = 2000, probability = 1 }, 
    { type = "item", name = "tungsten-ore", amount_min = 12, amount_max = 12, probability = 1 }, 
    { type = "fluid", name = "heavy-oil", amount_min = 20, amount_max = 20, probability = 1 }, 
    { type = "fluid", name = "holmium-solution", amount_min = 20, amount_max = 20, probability = 1 } 
}</v>
      </c>
      <c r="AP25" s="15" t="str" cm="1">
        <f t="array" ref="AP25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vulcanus_special_crushing.name = "astra-vulcanus-special-crushing"
vulcanus_special_crushing.icon = "__Astra-Asteroids__/graphics/vulcanus_crushing_basic.png"
vulcanus_special_crushing.order = "i[vulcanus].z[special]"
vulcanus_special_crushing.enabled = false
vulcanus_special_crushing.energy_required = 5
vulcanus_special_crushing.ingredients = { { type = "item", name = "astra-vulcanic-asteroid-chunk", amount = 1 }, { type = "item", name = "metallic-astroid-chunk", amount = 1 } }
vulcanus_special_crushing.results = { 
    { type = "fluid", name = "lava", amount_min = 2000, amount_max = 2000, probability = 1 }, 
    { type = "item", name = "tungsten-ore", amount_min = 12, amount_max = 12, probability = 1 }, 
    { type = "fluid", name = "heavy-oil", amount_min = 20, amount_max = 20, probability = 1 }, 
    { type = "fluid", name = "holmium-solution", amount_min = 20, amount_max = 20, probability = 1 } 
}</v>
      </c>
    </row>
    <row r="26" spans="3:42" ht="18.75" customHeight="1">
      <c r="C26" t="s">
        <v>163</v>
      </c>
      <c r="D26" s="2" t="s">
        <v>13</v>
      </c>
      <c r="E26" s="2" t="b">
        <f>OR(ISNUMBER(SEARCH("Adv", Table7[[#This Row],[Recipe]])), ISNUMBER(SEARCH("Special", Table7[[#This Row],[Recipe]])))</f>
        <v>1</v>
      </c>
      <c r="F26" s="2" t="s">
        <v>196</v>
      </c>
      <c r="G26" s="2" t="s">
        <v>229</v>
      </c>
      <c r="H26" s="18" t="s">
        <v>185</v>
      </c>
      <c r="I26" s="2" t="s">
        <v>36</v>
      </c>
      <c r="J26" s="2" t="s">
        <v>38</v>
      </c>
      <c r="K26" s="2">
        <v>5</v>
      </c>
      <c r="L26" s="16" t="s">
        <v>225</v>
      </c>
      <c r="M26" s="16"/>
      <c r="N26" s="2">
        <v>1</v>
      </c>
      <c r="P26" s="2" t="e" cm="1">
        <f t="array" ref="P26">INDEX(Table8[type], MATCH(Table7[[#This Row],[Recipe]], Table8[Recipe], 0) + 0)</f>
        <v>#N/A</v>
      </c>
      <c r="Q26" s="2" t="e" cm="1">
        <f t="array" ref="Q26">INDEX(Table8[name], MATCH(Table7[[#This Row],[Recipe]], Table8[Recipe], 0) + 0)</f>
        <v>#N/A</v>
      </c>
      <c r="R26" s="2" t="e" cm="1">
        <f t="array" ref="R26">INDEX(Table8[amount_min], MATCH(Table7[[#This Row],[Recipe]], Table8[Recipe], 0) + 0)</f>
        <v>#N/A</v>
      </c>
      <c r="S26" s="2" t="e" cm="1">
        <f t="array" ref="S26">INDEX(Table8[amount_max], MATCH(Table7[[#This Row],[Recipe]], Table8[Recipe], 0) + 0)</f>
        <v>#N/A</v>
      </c>
      <c r="T26" s="2" t="e" cm="1">
        <f t="array" ref="T26">INDEX(Table8[P], MATCH(Table7[[#This Row],[Recipe]], Table8[Recipe], 0) + 0)</f>
        <v>#N/A</v>
      </c>
      <c r="U26" s="2" t="e" cm="1">
        <f t="array" ref="U26">INDEX(Table8[type], MATCH(Table7[[#This Row],[Recipe]], Table8[Recipe], 0) + 1)</f>
        <v>#N/A</v>
      </c>
      <c r="V26" s="2" t="e" cm="1">
        <f t="array" ref="V26">INDEX(Table8[name], MATCH(Table7[[#This Row],[Recipe]], Table8[Recipe], 0) + 1)</f>
        <v>#N/A</v>
      </c>
      <c r="W26" s="2" t="e" cm="1">
        <f t="array" ref="W26">INDEX(Table8[amount_min], MATCH(Table7[[#This Row],[Recipe]], Table8[Recipe], 0) + 1)</f>
        <v>#N/A</v>
      </c>
      <c r="X26" s="2" t="e" cm="1">
        <f t="array" ref="X26">INDEX(Table8[amount_max], MATCH(Table7[[#This Row],[Recipe]], Table8[Recipe], 0) + 1)</f>
        <v>#N/A</v>
      </c>
      <c r="Y26" s="2" t="e" cm="1">
        <f t="array" ref="Y26">INDEX(Table8[P], MATCH(Table7[[#This Row],[Recipe]], Table8[Recipe], 0) + 1)</f>
        <v>#N/A</v>
      </c>
      <c r="Z26" s="2" t="e" cm="1">
        <f t="array" ref="Z26">INDEX(Table8[type], MATCH(Table7[[#This Row],[Recipe]], Table8[Recipe], 0) + 2)</f>
        <v>#N/A</v>
      </c>
      <c r="AA26" s="2" t="e" cm="1">
        <f t="array" ref="AA26">INDEX(Table8[name], MATCH(Table7[[#This Row],[Recipe]], Table8[Recipe], 0) + 2)</f>
        <v>#N/A</v>
      </c>
      <c r="AB26" s="2" t="e" cm="1">
        <f t="array" ref="AB26">INDEX(Table8[amount_min], MATCH(Table7[[#This Row],[Recipe]], Table8[Recipe], 0) + 2)</f>
        <v>#N/A</v>
      </c>
      <c r="AC26" s="2" t="e" cm="1">
        <f t="array" ref="AC26">INDEX(Table8[amount_max], MATCH(Table7[[#This Row],[Recipe]], Table8[Recipe], 0) + 2)</f>
        <v>#N/A</v>
      </c>
      <c r="AD26" s="2" t="e" cm="1">
        <f t="array" ref="AD26">INDEX(Table8[P], MATCH(Table7[[#This Row],[Recipe]], Table8[Recipe], 0) + 2)</f>
        <v>#N/A</v>
      </c>
      <c r="AE26" s="2" t="e" cm="1">
        <f t="array" ref="AE26">INDEX(Table8[type], MATCH(Table7[[#This Row],[Recipe]], Table8[Recipe], 0) + 3)</f>
        <v>#N/A</v>
      </c>
      <c r="AF26" s="2" t="e" cm="1">
        <f t="array" ref="AF26">INDEX(Table8[name], MATCH(Table7[[#This Row],[Recipe]], Table8[Recipe], 0) + 3)</f>
        <v>#N/A</v>
      </c>
      <c r="AG26" s="2" t="e" cm="1">
        <f t="array" ref="AG26">INDEX(Table8[amount_min], MATCH(Table7[[#This Row],[Recipe]], Table8[Recipe], 0) + 3)</f>
        <v>#N/A</v>
      </c>
      <c r="AH26" s="2" t="e" cm="1">
        <f t="array" ref="AH26">INDEX(Table8[amount_max], MATCH(Table7[[#This Row],[Recipe]], Table8[Recipe], 0) + 3)</f>
        <v>#N/A</v>
      </c>
      <c r="AI26" s="2" t="e" cm="1">
        <f t="array" ref="AI26">INDEX(Table8[P], MATCH(Table7[[#This Row],[Recipe]], Table8[Recipe], 0) + 3)</f>
        <v>#N/A</v>
      </c>
      <c r="AJ26" t="e" cm="1">
        <f t="array" ref="AJ26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#N/A</v>
      </c>
      <c r="AK26" t="e" cm="1">
        <f t="array" ref="AK26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#N/A</v>
      </c>
      <c r="AL26" t="e" cm="1">
        <f t="array" ref="AL26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#N/A</v>
      </c>
      <c r="AM26" t="e" cm="1">
        <f t="array" ref="AM26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#N/A</v>
      </c>
      <c r="AN26" s="14" t="str" cm="1">
        <f t="array" ref="AN26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"astra-nauvis-asteroid-chunk", amount = 1 } }</v>
      </c>
      <c r="AO26" s="14" t="e" cm="1">
        <f t="array" ref="AO26" xml:space="preserve"> "{ 
    " &amp; _xlfn.TEXTJOIN(", 
    ", TRUE, _xlfn._xlws.FILTER(Table7[[#This Row],[Results 1]:[Results 4]], IFERROR(--Table7[[#This Row],[Results 1]:[Results 4]], TRUE))) &amp; " 
}"</f>
        <v>#N/A</v>
      </c>
      <c r="AP26" s="15" t="e" cm="1">
        <f t="array" ref="AP26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#N/A</v>
      </c>
    </row>
    <row r="27" spans="3:42" ht="18.75" customHeight="1">
      <c r="C27" t="s">
        <v>165</v>
      </c>
      <c r="D27" s="2" t="s">
        <v>13</v>
      </c>
      <c r="E27" s="2" t="b">
        <f>OR(ISNUMBER(SEARCH("Adv", Table7[[#This Row],[Recipe]])), ISNUMBER(SEARCH("Special", Table7[[#This Row],[Recipe]])))</f>
        <v>1</v>
      </c>
      <c r="F27" s="2" t="s">
        <v>195</v>
      </c>
      <c r="G27" s="2" t="s">
        <v>230</v>
      </c>
      <c r="H27" s="18" t="s">
        <v>186</v>
      </c>
      <c r="I27" s="2" t="s">
        <v>170</v>
      </c>
      <c r="J27" s="2" t="s">
        <v>38</v>
      </c>
      <c r="K27" s="2">
        <v>10</v>
      </c>
      <c r="L27" s="16" t="s">
        <v>226</v>
      </c>
      <c r="M27" s="16"/>
      <c r="N27" s="2">
        <v>1</v>
      </c>
      <c r="P27" s="2" t="e" cm="1">
        <f t="array" ref="P27">INDEX(Table8[type], MATCH(Table7[[#This Row],[Recipe]], Table8[Recipe], 0) + 0)</f>
        <v>#N/A</v>
      </c>
      <c r="Q27" s="2" t="e" cm="1">
        <f t="array" ref="Q27">INDEX(Table8[name], MATCH(Table7[[#This Row],[Recipe]], Table8[Recipe], 0) + 0)</f>
        <v>#N/A</v>
      </c>
      <c r="R27" s="2" t="e" cm="1">
        <f t="array" ref="R27">INDEX(Table8[amount_min], MATCH(Table7[[#This Row],[Recipe]], Table8[Recipe], 0) + 0)</f>
        <v>#N/A</v>
      </c>
      <c r="S27" s="2" t="e" cm="1">
        <f t="array" ref="S27">INDEX(Table8[amount_max], MATCH(Table7[[#This Row],[Recipe]], Table8[Recipe], 0) + 0)</f>
        <v>#N/A</v>
      </c>
      <c r="T27" s="2" t="e" cm="1">
        <f t="array" ref="T27">INDEX(Table8[P], MATCH(Table7[[#This Row],[Recipe]], Table8[Recipe], 0) + 0)</f>
        <v>#N/A</v>
      </c>
      <c r="U27" s="2" t="e" cm="1">
        <f t="array" ref="U27">INDEX(Table8[type], MATCH(Table7[[#This Row],[Recipe]], Table8[Recipe], 0) + 1)</f>
        <v>#N/A</v>
      </c>
      <c r="V27" s="2" t="e" cm="1">
        <f t="array" ref="V27">INDEX(Table8[name], MATCH(Table7[[#This Row],[Recipe]], Table8[Recipe], 0) + 1)</f>
        <v>#N/A</v>
      </c>
      <c r="W27" s="2" t="e" cm="1">
        <f t="array" ref="W27">INDEX(Table8[amount_min], MATCH(Table7[[#This Row],[Recipe]], Table8[Recipe], 0) + 1)</f>
        <v>#N/A</v>
      </c>
      <c r="X27" s="2" t="e" cm="1">
        <f t="array" ref="X27">INDEX(Table8[amount_max], MATCH(Table7[[#This Row],[Recipe]], Table8[Recipe], 0) + 1)</f>
        <v>#N/A</v>
      </c>
      <c r="Y27" s="2" t="e" cm="1">
        <f t="array" ref="Y27">INDEX(Table8[P], MATCH(Table7[[#This Row],[Recipe]], Table8[Recipe], 0) + 1)</f>
        <v>#N/A</v>
      </c>
      <c r="Z27" s="2" t="e" cm="1">
        <f t="array" ref="Z27">INDEX(Table8[type], MATCH(Table7[[#This Row],[Recipe]], Table8[Recipe], 0) + 2)</f>
        <v>#N/A</v>
      </c>
      <c r="AA27" s="2" t="e" cm="1">
        <f t="array" ref="AA27">INDEX(Table8[name], MATCH(Table7[[#This Row],[Recipe]], Table8[Recipe], 0) + 2)</f>
        <v>#N/A</v>
      </c>
      <c r="AB27" s="2" t="e" cm="1">
        <f t="array" ref="AB27">INDEX(Table8[amount_min], MATCH(Table7[[#This Row],[Recipe]], Table8[Recipe], 0) + 2)</f>
        <v>#N/A</v>
      </c>
      <c r="AC27" s="2" t="e" cm="1">
        <f t="array" ref="AC27">INDEX(Table8[amount_max], MATCH(Table7[[#This Row],[Recipe]], Table8[Recipe], 0) + 2)</f>
        <v>#N/A</v>
      </c>
      <c r="AD27" s="2" t="e" cm="1">
        <f t="array" ref="AD27">INDEX(Table8[P], MATCH(Table7[[#This Row],[Recipe]], Table8[Recipe], 0) + 2)</f>
        <v>#N/A</v>
      </c>
      <c r="AE27" s="2" t="e" cm="1">
        <f t="array" ref="AE27">INDEX(Table8[type], MATCH(Table7[[#This Row],[Recipe]], Table8[Recipe], 0) + 3)</f>
        <v>#N/A</v>
      </c>
      <c r="AF27" s="2" t="e" cm="1">
        <f t="array" ref="AF27">INDEX(Table8[name], MATCH(Table7[[#This Row],[Recipe]], Table8[Recipe], 0) + 3)</f>
        <v>#N/A</v>
      </c>
      <c r="AG27" s="2" t="e" cm="1">
        <f t="array" ref="AG27">INDEX(Table8[amount_min], MATCH(Table7[[#This Row],[Recipe]], Table8[Recipe], 0) + 3)</f>
        <v>#N/A</v>
      </c>
      <c r="AH27" s="2" t="e" cm="1">
        <f t="array" ref="AH27">INDEX(Table8[amount_max], MATCH(Table7[[#This Row],[Recipe]], Table8[Recipe], 0) + 3)</f>
        <v>#N/A</v>
      </c>
      <c r="AI27" s="2" t="e" cm="1">
        <f t="array" ref="AI27">INDEX(Table8[P], MATCH(Table7[[#This Row],[Recipe]], Table8[Recipe], 0) + 3)</f>
        <v>#N/A</v>
      </c>
      <c r="AJ27" t="e" cm="1">
        <f t="array" ref="AJ27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#N/A</v>
      </c>
      <c r="AK27" t="e" cm="1">
        <f t="array" ref="AK27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#N/A</v>
      </c>
      <c r="AL27" t="e" cm="1">
        <f t="array" ref="AL27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#N/A</v>
      </c>
      <c r="AM27" t="e" cm="1">
        <f t="array" ref="AM27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#N/A</v>
      </c>
      <c r="AN27" s="14" t="str" cm="1">
        <f t="array" ref="AN27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"astra-gleba-asteroid-chunk", amount = 1 } }</v>
      </c>
      <c r="AO27" s="14" t="e" cm="1">
        <f t="array" ref="AO27" xml:space="preserve"> "{ 
    " &amp; _xlfn.TEXTJOIN(", 
    ", TRUE, _xlfn._xlws.FILTER(Table7[[#This Row],[Results 1]:[Results 4]], IFERROR(--Table7[[#This Row],[Results 1]:[Results 4]], TRUE))) &amp; " 
}"</f>
        <v>#N/A</v>
      </c>
      <c r="AP27" s="15" t="e" cm="1">
        <f t="array" ref="AP27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#N/A</v>
      </c>
    </row>
    <row r="28" spans="3:42" ht="23.25" customHeight="1">
      <c r="C28" t="s">
        <v>164</v>
      </c>
      <c r="E28" s="2" t="b">
        <f>OR(ISNUMBER(SEARCH("Adv", Table7[[#This Row],[Recipe]])), ISNUMBER(SEARCH("Special", Table7[[#This Row],[Recipe]])))</f>
        <v>1</v>
      </c>
      <c r="F28" s="2" t="s">
        <v>181</v>
      </c>
      <c r="G28" s="2" t="s">
        <v>231</v>
      </c>
      <c r="H28" s="18" t="s">
        <v>183</v>
      </c>
      <c r="I28" s="2" t="s">
        <v>364</v>
      </c>
      <c r="J28" s="2" t="s">
        <v>38</v>
      </c>
      <c r="K28" s="2">
        <v>10</v>
      </c>
      <c r="L28" s="16" t="s">
        <v>227</v>
      </c>
      <c r="M28" s="16" t="s">
        <v>118</v>
      </c>
      <c r="N28" s="2">
        <v>1</v>
      </c>
      <c r="O28" s="2">
        <v>1</v>
      </c>
      <c r="P28" s="2" t="str" cm="1">
        <f t="array" ref="P28">INDEX(Table8[type], MATCH(Table7[[#This Row],[Recipe]], Table8[Recipe], 0) + 0)</f>
        <v>fluid</v>
      </c>
      <c r="Q28" s="2" t="str" cm="1">
        <f t="array" ref="Q28">INDEX(Table8[name], MATCH(Table7[[#This Row],[Recipe]], Table8[Recipe], 0) + 0)</f>
        <v>heavy-oil</v>
      </c>
      <c r="R28" s="2" cm="1">
        <f t="array" ref="R28">INDEX(Table8[amount_min], MATCH(Table7[[#This Row],[Recipe]], Table8[Recipe], 0) + 0)</f>
        <v>20</v>
      </c>
      <c r="S28" s="2" cm="1">
        <f t="array" ref="S28">INDEX(Table8[amount_max], MATCH(Table7[[#This Row],[Recipe]], Table8[Recipe], 0) + 0)</f>
        <v>20</v>
      </c>
      <c r="T28" s="2" cm="1">
        <f t="array" ref="T28">INDEX(Table8[P], MATCH(Table7[[#This Row],[Recipe]], Table8[Recipe], 0) + 0)</f>
        <v>1</v>
      </c>
      <c r="U28" s="2" t="str" cm="1">
        <f t="array" ref="U28">INDEX(Table8[type], MATCH(Table7[[#This Row],[Recipe]], Table8[Recipe], 0) + 1)</f>
        <v>fluid</v>
      </c>
      <c r="V28" s="2" t="str" cm="1">
        <f t="array" ref="V28">INDEX(Table8[name], MATCH(Table7[[#This Row],[Recipe]], Table8[Recipe], 0) + 1)</f>
        <v>holmium-solution</v>
      </c>
      <c r="W28" s="2" cm="1">
        <f t="array" ref="W28">INDEX(Table8[amount_min], MATCH(Table7[[#This Row],[Recipe]], Table8[Recipe], 0) + 1)</f>
        <v>20</v>
      </c>
      <c r="X28" s="2" cm="1">
        <f t="array" ref="X28">INDEX(Table8[amount_max], MATCH(Table7[[#This Row],[Recipe]], Table8[Recipe], 0) + 1)</f>
        <v>20</v>
      </c>
      <c r="Y28" s="2" cm="1">
        <f t="array" ref="Y28">INDEX(Table8[P], MATCH(Table7[[#This Row],[Recipe]], Table8[Recipe], 0) + 1)</f>
        <v>1</v>
      </c>
      <c r="Z28" s="2" t="str" cm="1">
        <f t="array" ref="Z28">INDEX(Table8[type], MATCH(Table7[[#This Row],[Recipe]], Table8[Recipe], 0) + 2)</f>
        <v>item</v>
      </c>
      <c r="AA28" s="2" t="str" cm="1">
        <f t="array" ref="AA28">INDEX(Table8[name], MATCH(Table7[[#This Row],[Recipe]], Table8[Recipe], 0) + 2)</f>
        <v>stone</v>
      </c>
      <c r="AB28" s="2" cm="1">
        <f t="array" ref="AB28">INDEX(Table8[amount_min], MATCH(Table7[[#This Row],[Recipe]], Table8[Recipe], 0) + 2)</f>
        <v>5</v>
      </c>
      <c r="AC28" s="2" cm="1">
        <f t="array" ref="AC28">INDEX(Table8[amount_max], MATCH(Table7[[#This Row],[Recipe]], Table8[Recipe], 0) + 2)</f>
        <v>5</v>
      </c>
      <c r="AD28" s="2" cm="1">
        <f t="array" ref="AD28">INDEX(Table8[P], MATCH(Table7[[#This Row],[Recipe]], Table8[Recipe], 0) + 2)</f>
        <v>1</v>
      </c>
      <c r="AE28" s="2" t="e" cm="1">
        <f t="array" ref="AE28">INDEX(Table8[type], MATCH(Table7[[#This Row],[Recipe]], Table8[Recipe], 0) + 3)</f>
        <v>#REF!</v>
      </c>
      <c r="AF28" s="2" t="e" cm="1">
        <f t="array" ref="AF28">INDEX(Table8[name], MATCH(Table7[[#This Row],[Recipe]], Table8[Recipe], 0) + 3)</f>
        <v>#REF!</v>
      </c>
      <c r="AG28" s="2" t="e" cm="1">
        <f t="array" ref="AG28">INDEX(Table8[amount_min], MATCH(Table7[[#This Row],[Recipe]], Table8[Recipe], 0) + 3)</f>
        <v>#REF!</v>
      </c>
      <c r="AH28" s="2" t="e" cm="1">
        <f t="array" ref="AH28">INDEX(Table8[amount_max], MATCH(Table7[[#This Row],[Recipe]], Table8[Recipe], 0) + 3)</f>
        <v>#REF!</v>
      </c>
      <c r="AI28" s="2" t="e" cm="1">
        <f t="array" ref="AI28">INDEX(Table8[P], MATCH(Table7[[#This Row],[Recipe]], Table8[Recipe], 0) + 3)</f>
        <v>#REF!</v>
      </c>
      <c r="AJ28" t="str" cm="1">
        <f t="array" ref="AJ28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"fluid", name = "heavy-oil", amount_min = 20, amount_max = 20, probability = 1 }</v>
      </c>
      <c r="AK28" t="str" cm="1">
        <f t="array" ref="AK28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"fluid", name = "holmium-solution", amount_min = 20, amount_max = 20, probability = 1 }</v>
      </c>
      <c r="AL28" t="str" cm="1">
        <f t="array" ref="AL28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"stone", amount_min = 5, amount_max = 5, probability = 1 }</v>
      </c>
      <c r="AM28" t="e" cm="1">
        <f t="array" ref="AM28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#REF!</v>
      </c>
      <c r="AN28" s="14" t="str" cm="1">
        <f t="array" ref="AN28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"astra-fulgoran-asteroid-chunk", amount = 1 }, { type = "item", name = "carbonic-asteroid-chunk", amount = 1 } }</v>
      </c>
      <c r="AO28" s="14" t="e" cm="1">
        <f t="array" ref="AO28" xml:space="preserve"> "{ 
    " &amp; _xlfn.TEXTJOIN(", 
    ", TRUE, _xlfn._xlws.FILTER(Table7[[#This Row],[Results 1]:[Results 4]], IFERROR(--Table7[[#This Row],[Results 1]:[Results 4]], TRUE))) &amp; " 
}"</f>
        <v>#REF!</v>
      </c>
      <c r="AP28" s="15" t="e" cm="1">
        <f t="array" ref="AP28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#REF!</v>
      </c>
    </row>
    <row r="32" spans="3:42">
      <c r="E32" s="16"/>
      <c r="K32" s="2" t="s">
        <v>71</v>
      </c>
    </row>
    <row r="33" spans="5:28">
      <c r="E33" s="16"/>
    </row>
    <row r="34" spans="5:28">
      <c r="E34" s="16"/>
      <c r="K34" s="2" t="s">
        <v>66</v>
      </c>
    </row>
    <row r="35" spans="5:28">
      <c r="E35" s="16"/>
      <c r="K35" s="2" t="s">
        <v>67</v>
      </c>
    </row>
    <row r="36" spans="5:28">
      <c r="E36" s="16"/>
      <c r="K36" s="2" t="s">
        <v>69</v>
      </c>
      <c r="O36" s="2" t="str" cm="1">
        <f t="array" ref="O36">_xlfn.TEXTJOIN(", ", TRUE, IF(NOT(ISNUMBER(P36:V36)), """" &amp; P36:V36 &amp; """", P36:V36))</f>
        <v>"item", "ice", 5, 5, 1, "item", "oxide-asteroid-chunk"</v>
      </c>
      <c r="P36" s="2" t="s">
        <v>159</v>
      </c>
      <c r="Q36" s="2" t="s">
        <v>71</v>
      </c>
      <c r="R36" s="2">
        <v>5</v>
      </c>
      <c r="S36" s="2">
        <v>5</v>
      </c>
      <c r="T36" s="2">
        <v>1</v>
      </c>
      <c r="U36" s="2" t="s">
        <v>159</v>
      </c>
      <c r="V36" s="2" t="s">
        <v>119</v>
      </c>
    </row>
    <row r="37" spans="5:28">
      <c r="E37" s="16"/>
      <c r="K37" s="2" t="s">
        <v>232</v>
      </c>
      <c r="O37" s="2" t="str">
        <f>_xlfn.TEXTJOIN(", ", TRUE, P37:V37)</f>
        <v>item, iron-ore, 10, 10, 1, item, copper-ore</v>
      </c>
      <c r="P37" s="2" t="s">
        <v>159</v>
      </c>
      <c r="Q37" s="2" t="s">
        <v>67</v>
      </c>
      <c r="R37" s="2">
        <v>10</v>
      </c>
      <c r="S37" s="2">
        <v>10</v>
      </c>
      <c r="T37" s="2">
        <v>1</v>
      </c>
      <c r="U37" s="2" t="s">
        <v>159</v>
      </c>
      <c r="V37" s="2" t="s">
        <v>68</v>
      </c>
    </row>
    <row r="38" spans="5:28">
      <c r="E38" s="16"/>
      <c r="K38" s="2" t="s">
        <v>77</v>
      </c>
    </row>
    <row r="39" spans="5:28">
      <c r="E39" s="16"/>
    </row>
    <row r="40" spans="5:28">
      <c r="E40" s="16"/>
      <c r="K40" s="2" t="s">
        <v>76</v>
      </c>
    </row>
    <row r="41" spans="5:28">
      <c r="E41" s="16"/>
      <c r="K41" s="2" t="s">
        <v>65</v>
      </c>
    </row>
    <row r="42" spans="5:28">
      <c r="E42" s="16"/>
      <c r="K42" s="2" t="s">
        <v>79</v>
      </c>
    </row>
    <row r="43" spans="5:28">
      <c r="E43" s="16"/>
      <c r="K43" s="2" t="s">
        <v>78</v>
      </c>
      <c r="O43" s="2" t="str" cm="1">
        <f t="array" ref="O43:T63">_xlfn._xlws.FILTER(Table7[], --(Table7[#Headers] = "Recipe") + --ISNUMBER(SEARCH("Result_4", Table7[#Headers])))</f>
        <v>Oxide asteroid crushing</v>
      </c>
      <c r="P43" s="2" t="str">
        <v>item</v>
      </c>
      <c r="Q43" s="2" t="str">
        <v>astra-crude-asteroid-chunk</v>
      </c>
      <c r="R43" s="2">
        <v>1</v>
      </c>
      <c r="S43" s="2">
        <v>1</v>
      </c>
      <c r="T43" s="2">
        <v>0.2</v>
      </c>
      <c r="W43" s="2" t="s">
        <v>102</v>
      </c>
      <c r="X43" s="2" t="s">
        <v>159</v>
      </c>
      <c r="Y43" s="2" t="s">
        <v>71</v>
      </c>
      <c r="Z43" s="2">
        <v>5</v>
      </c>
      <c r="AA43" s="2">
        <v>5</v>
      </c>
      <c r="AB43" s="2">
        <v>1</v>
      </c>
    </row>
    <row r="44" spans="5:28">
      <c r="K44" s="2" t="s">
        <v>72</v>
      </c>
      <c r="O44" s="2" t="str">
        <v>Metallic asteroid crushing</v>
      </c>
      <c r="P44" s="2" t="str">
        <v>item</v>
      </c>
      <c r="Q44" s="2" t="str">
        <v>stone</v>
      </c>
      <c r="R44" s="2">
        <v>5</v>
      </c>
      <c r="S44" s="2">
        <v>5</v>
      </c>
      <c r="T44" s="2">
        <v>1</v>
      </c>
      <c r="W44" s="2" t="s">
        <v>101</v>
      </c>
      <c r="X44" s="2">
        <v>0</v>
      </c>
      <c r="Y44" s="2">
        <v>0</v>
      </c>
      <c r="Z44" s="2">
        <v>0</v>
      </c>
      <c r="AA44" s="2">
        <v>0</v>
      </c>
      <c r="AB44" s="2">
        <v>1</v>
      </c>
    </row>
    <row r="45" spans="5:28">
      <c r="K45" s="2" t="s">
        <v>68</v>
      </c>
      <c r="O45" s="2" t="str">
        <v>Crude Asteroid Crushing</v>
      </c>
      <c r="P45" s="2" t="str">
        <v>item</v>
      </c>
      <c r="Q45" s="2" t="str">
        <v>carbon</v>
      </c>
      <c r="R45" s="2">
        <v>10</v>
      </c>
      <c r="S45" s="2">
        <v>10</v>
      </c>
      <c r="T45" s="2">
        <v>1</v>
      </c>
      <c r="W45" s="2" t="s">
        <v>49</v>
      </c>
      <c r="X45" s="2" t="s">
        <v>159</v>
      </c>
      <c r="Y45" s="2" t="s">
        <v>66</v>
      </c>
      <c r="Z45" s="2">
        <v>5</v>
      </c>
      <c r="AA45" s="2">
        <v>10</v>
      </c>
      <c r="AB45" s="2">
        <v>1</v>
      </c>
    </row>
    <row r="46" spans="5:28">
      <c r="K46" s="2" t="s">
        <v>70</v>
      </c>
      <c r="O46" s="2" t="str">
        <v>Carbonic asteroid crushing</v>
      </c>
      <c r="P46" s="2" t="str">
        <v>item</v>
      </c>
      <c r="Q46" s="2" t="str">
        <v>tungsten-ore</v>
      </c>
      <c r="R46" s="2">
        <v>4</v>
      </c>
      <c r="S46" s="2">
        <v>5</v>
      </c>
      <c r="T46" s="2">
        <v>1</v>
      </c>
      <c r="W46" s="2" t="s">
        <v>100</v>
      </c>
      <c r="X46" s="2">
        <v>0</v>
      </c>
      <c r="Y46" s="2">
        <v>0</v>
      </c>
      <c r="Z46" s="2">
        <v>0</v>
      </c>
      <c r="AA46" s="2">
        <v>0</v>
      </c>
      <c r="AB46" s="2">
        <v>1</v>
      </c>
    </row>
    <row r="47" spans="5:28">
      <c r="K47" s="2" t="s">
        <v>73</v>
      </c>
      <c r="O47" s="2" t="str">
        <v>Basic Vulcanic Crushing</v>
      </c>
      <c r="P47" s="2" t="str">
        <v>item</v>
      </c>
      <c r="Q47" s="2" t="str">
        <v>astra-nauvis-asteroid-chunk</v>
      </c>
      <c r="R47" s="2">
        <v>1</v>
      </c>
      <c r="S47" s="2">
        <v>1</v>
      </c>
      <c r="T47" s="2">
        <v>0.2</v>
      </c>
      <c r="W47" s="2" t="s">
        <v>50</v>
      </c>
      <c r="X47" s="2" t="s">
        <v>159</v>
      </c>
      <c r="Y47" s="2" t="s">
        <v>66</v>
      </c>
      <c r="Z47" s="2">
        <v>4</v>
      </c>
      <c r="AA47" s="2">
        <v>6</v>
      </c>
      <c r="AB47" s="2">
        <v>1</v>
      </c>
    </row>
    <row r="48" spans="5:28">
      <c r="K48" s="2" t="s">
        <v>168</v>
      </c>
      <c r="O48" s="2" t="str">
        <v>Basic Nauvis Crushing</v>
      </c>
      <c r="P48" s="2" t="str">
        <v>item</v>
      </c>
      <c r="Q48" s="2" t="str">
        <v>astra-gleba-asteroid-chunk</v>
      </c>
      <c r="R48" s="2">
        <v>1</v>
      </c>
      <c r="S48" s="2">
        <v>1</v>
      </c>
      <c r="T48" s="2">
        <v>0.2</v>
      </c>
      <c r="W48" s="2" t="s">
        <v>40</v>
      </c>
      <c r="X48" s="2" t="s">
        <v>159</v>
      </c>
      <c r="Y48" s="2" t="s">
        <v>66</v>
      </c>
      <c r="Z48" s="2">
        <v>5</v>
      </c>
      <c r="AA48" s="2">
        <v>10</v>
      </c>
      <c r="AB48" s="2">
        <v>1</v>
      </c>
    </row>
    <row r="49" spans="11:28">
      <c r="K49" s="2" t="s">
        <v>80</v>
      </c>
      <c r="O49" s="2" t="str">
        <v>Basic Gleba Crushing</v>
      </c>
      <c r="P49" s="2" t="str">
        <v>item</v>
      </c>
      <c r="Q49" s="2" t="str">
        <v>stone</v>
      </c>
      <c r="R49" s="2">
        <v>5</v>
      </c>
      <c r="S49" s="2">
        <v>5</v>
      </c>
      <c r="T49" s="2">
        <v>1</v>
      </c>
      <c r="W49" s="2" t="s">
        <v>52</v>
      </c>
      <c r="X49" s="2" t="s">
        <v>159</v>
      </c>
      <c r="Y49" s="2" t="s">
        <v>66</v>
      </c>
      <c r="Z49" s="2">
        <v>3</v>
      </c>
      <c r="AA49" s="2">
        <v>5</v>
      </c>
      <c r="AB49" s="2">
        <v>1</v>
      </c>
    </row>
    <row r="50" spans="11:28">
      <c r="O50" s="2" t="str">
        <v>Basic Fulgoran Crushing</v>
      </c>
      <c r="P50" s="2" t="str">
        <v>item</v>
      </c>
      <c r="Q50" s="2" t="str">
        <v>astra-aquilo-asteroid-chunk</v>
      </c>
      <c r="R50" s="2">
        <v>1</v>
      </c>
      <c r="S50" s="2">
        <v>1</v>
      </c>
      <c r="T50" s="2">
        <v>0.2</v>
      </c>
      <c r="W50" s="2" t="s">
        <v>51</v>
      </c>
      <c r="X50" s="2" t="s">
        <v>159</v>
      </c>
      <c r="Y50" s="2" t="s">
        <v>66</v>
      </c>
      <c r="Z50" s="2">
        <v>4</v>
      </c>
      <c r="AA50" s="2">
        <v>6</v>
      </c>
      <c r="AB50" s="2">
        <v>1</v>
      </c>
    </row>
    <row r="51" spans="11:28">
      <c r="O51" s="2" t="str">
        <v>Basic Aquilo Crushing</v>
      </c>
      <c r="P51" s="2" t="str">
        <v>item</v>
      </c>
      <c r="Q51" s="2" t="str">
        <v>calcite</v>
      </c>
      <c r="R51" s="2">
        <v>2</v>
      </c>
      <c r="S51" s="2">
        <v>2</v>
      </c>
      <c r="T51" s="2">
        <v>1</v>
      </c>
      <c r="W51" s="2" t="s">
        <v>105</v>
      </c>
      <c r="X51" s="2" t="s">
        <v>159</v>
      </c>
      <c r="Y51" s="2" t="s">
        <v>71</v>
      </c>
      <c r="Z51" s="2">
        <v>3</v>
      </c>
      <c r="AA51" s="2">
        <v>3</v>
      </c>
      <c r="AB51" s="2">
        <v>1</v>
      </c>
    </row>
    <row r="52" spans="11:28">
      <c r="K52" s="2" t="s">
        <v>167</v>
      </c>
      <c r="O52" s="2" t="str">
        <v>Advanced oxide asteroid crushing</v>
      </c>
      <c r="P52" s="2" t="str">
        <v>item</v>
      </c>
      <c r="Q52" s="2" t="str">
        <v>copper-ore</v>
      </c>
      <c r="R52" s="2">
        <v>4</v>
      </c>
      <c r="S52" s="2">
        <v>4</v>
      </c>
      <c r="T52" s="2">
        <v>1</v>
      </c>
      <c r="W52" s="2" t="s">
        <v>103</v>
      </c>
      <c r="X52" s="2" t="s">
        <v>159</v>
      </c>
      <c r="Y52" s="2" t="s">
        <v>67</v>
      </c>
      <c r="Z52" s="2">
        <v>10</v>
      </c>
      <c r="AA52" s="2">
        <v>10</v>
      </c>
      <c r="AB52" s="2">
        <v>1</v>
      </c>
    </row>
    <row r="53" spans="11:28">
      <c r="K53" s="2" t="s">
        <v>169</v>
      </c>
      <c r="O53" s="2" t="str">
        <v>Advanced metallic asteroid crushing</v>
      </c>
      <c r="P53" s="2" t="str">
        <v>item</v>
      </c>
      <c r="Q53" s="2" t="str">
        <v>carbon</v>
      </c>
      <c r="R53" s="2">
        <v>5</v>
      </c>
      <c r="S53" s="2">
        <v>5</v>
      </c>
      <c r="T53" s="2">
        <v>1</v>
      </c>
      <c r="W53" s="2" t="s">
        <v>104</v>
      </c>
      <c r="X53" s="2" t="s">
        <v>159</v>
      </c>
      <c r="Y53" s="2" t="s">
        <v>69</v>
      </c>
      <c r="Z53" s="2">
        <v>5</v>
      </c>
      <c r="AA53" s="2">
        <v>5</v>
      </c>
      <c r="AB53" s="2">
        <v>1</v>
      </c>
    </row>
    <row r="54" spans="11:28">
      <c r="O54" s="2" t="str">
        <v>Advanced carbonic asteroid crushing</v>
      </c>
      <c r="P54" s="2" t="str">
        <v>item</v>
      </c>
      <c r="Q54" s="2" t="str">
        <v>astra-vulcanic-asteroid-chunk</v>
      </c>
      <c r="R54" s="2">
        <v>1</v>
      </c>
      <c r="S54" s="2">
        <v>1</v>
      </c>
      <c r="T54" s="2">
        <v>0.05</v>
      </c>
      <c r="W54" s="2" t="s">
        <v>233</v>
      </c>
      <c r="X54" s="2" t="s">
        <v>159</v>
      </c>
      <c r="Y54" s="2" t="s">
        <v>232</v>
      </c>
      <c r="Z54" s="2">
        <v>5</v>
      </c>
      <c r="AA54" s="2">
        <v>10</v>
      </c>
      <c r="AB54" s="2">
        <v>1</v>
      </c>
    </row>
    <row r="55" spans="11:28">
      <c r="O55" s="2" t="str">
        <v>Adv Vulcanis Crushing</v>
      </c>
      <c r="P55" s="2" t="str">
        <v>item</v>
      </c>
      <c r="Q55" s="2" t="str">
        <v>astra-nauvis-asteroid-chunk</v>
      </c>
      <c r="R55" s="2">
        <v>1</v>
      </c>
      <c r="S55" s="2">
        <v>1</v>
      </c>
      <c r="T55" s="2">
        <v>0.05</v>
      </c>
      <c r="W55" s="2" t="s">
        <v>160</v>
      </c>
      <c r="X55" s="2" t="s">
        <v>159</v>
      </c>
      <c r="Y55" s="2" t="s">
        <v>66</v>
      </c>
      <c r="Z55" s="2">
        <v>8</v>
      </c>
      <c r="AA55" s="2">
        <v>8</v>
      </c>
      <c r="AB55" s="2">
        <v>1</v>
      </c>
    </row>
    <row r="56" spans="11:28">
      <c r="O56" s="2" t="str">
        <v>Adv Nauvis Crushing</v>
      </c>
      <c r="P56" s="2" t="str">
        <v>item</v>
      </c>
      <c r="Q56" s="2" t="str">
        <v>uranium-238</v>
      </c>
      <c r="R56" s="2">
        <v>3</v>
      </c>
      <c r="S56" s="2">
        <v>5</v>
      </c>
      <c r="T56" s="2">
        <v>1</v>
      </c>
      <c r="W56" s="2" t="s">
        <v>46</v>
      </c>
      <c r="X56" s="2" t="s">
        <v>159</v>
      </c>
      <c r="Y56" s="2" t="s">
        <v>66</v>
      </c>
      <c r="Z56" s="2">
        <v>4</v>
      </c>
      <c r="AA56" s="2">
        <v>8</v>
      </c>
      <c r="AB56" s="2">
        <v>1</v>
      </c>
    </row>
    <row r="57" spans="11:28">
      <c r="O57" s="2" t="str">
        <v>Adv Gleba Crushing</v>
      </c>
      <c r="P57" s="2" t="str">
        <v>item</v>
      </c>
      <c r="Q57" s="2" t="str">
        <v>yumako-seed</v>
      </c>
      <c r="R57" s="2">
        <v>1</v>
      </c>
      <c r="S57" s="2">
        <v>2</v>
      </c>
      <c r="T57" s="2">
        <v>0.3</v>
      </c>
      <c r="W57" s="2" t="s">
        <v>161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</row>
    <row r="58" spans="11:28">
      <c r="O58" s="2" t="str">
        <v>Adv Fulgoran Crushing</v>
      </c>
      <c r="P58" s="2" t="str">
        <v>item</v>
      </c>
      <c r="Q58" s="2" t="str">
        <v>stone</v>
      </c>
      <c r="R58" s="2">
        <v>0</v>
      </c>
      <c r="S58" s="2">
        <v>0</v>
      </c>
      <c r="T58" s="2">
        <v>1</v>
      </c>
      <c r="W58" s="2" t="s">
        <v>162</v>
      </c>
      <c r="X58" s="2" t="s">
        <v>159</v>
      </c>
      <c r="Y58" s="2" t="s">
        <v>66</v>
      </c>
      <c r="Z58" s="2">
        <v>4</v>
      </c>
      <c r="AA58" s="2">
        <v>6</v>
      </c>
      <c r="AB58" s="2">
        <v>1</v>
      </c>
    </row>
    <row r="59" spans="11:28">
      <c r="O59" s="2" t="str">
        <v>Adv Crude Crushing</v>
      </c>
      <c r="P59" s="2" t="str">
        <v>fluid</v>
      </c>
      <c r="Q59" s="2" t="str">
        <v>lava</v>
      </c>
      <c r="R59" s="2">
        <v>2000</v>
      </c>
      <c r="S59" s="2">
        <v>2000</v>
      </c>
      <c r="T59" s="2">
        <v>1</v>
      </c>
      <c r="W59" s="2" t="s">
        <v>166</v>
      </c>
      <c r="X59" s="2" t="s">
        <v>158</v>
      </c>
      <c r="Y59" s="2" t="s">
        <v>77</v>
      </c>
      <c r="Z59" s="2">
        <v>2000</v>
      </c>
      <c r="AA59" s="2">
        <v>2000</v>
      </c>
      <c r="AB59" s="2">
        <v>1</v>
      </c>
    </row>
    <row r="60" spans="11:28">
      <c r="O60" s="2" t="str">
        <v>1Special Vulcanic Crushing</v>
      </c>
      <c r="P60" s="2" t="str">
        <v>fluid</v>
      </c>
      <c r="Q60" s="2" t="str">
        <v>holmium-solution</v>
      </c>
      <c r="R60" s="2">
        <v>20</v>
      </c>
      <c r="S60" s="2">
        <v>20</v>
      </c>
      <c r="T60" s="2">
        <v>1</v>
      </c>
      <c r="W60" s="2" t="s">
        <v>163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</row>
    <row r="61" spans="11:28">
      <c r="O61" s="2" t="str">
        <v>1Special Nauvis Crushing</v>
      </c>
      <c r="P61" s="2" t="e">
        <v>#N/A</v>
      </c>
      <c r="Q61" s="2" t="e">
        <v>#N/A</v>
      </c>
      <c r="R61" s="2" t="e">
        <v>#N/A</v>
      </c>
      <c r="S61" s="2" t="e">
        <v>#N/A</v>
      </c>
      <c r="T61" s="2" t="e">
        <v>#N/A</v>
      </c>
      <c r="W61" s="2" t="s">
        <v>165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</row>
    <row r="62" spans="11:28">
      <c r="O62" s="2" t="str">
        <v>1Special Gleba Crushing</v>
      </c>
      <c r="P62" s="2" t="e">
        <v>#N/A</v>
      </c>
      <c r="Q62" s="2" t="e">
        <v>#N/A</v>
      </c>
      <c r="R62" s="2" t="e">
        <v>#N/A</v>
      </c>
      <c r="S62" s="2" t="e">
        <v>#N/A</v>
      </c>
      <c r="T62" s="2" t="e">
        <v>#N/A</v>
      </c>
      <c r="W62" s="2" t="s">
        <v>164</v>
      </c>
      <c r="X62" s="2" t="s">
        <v>159</v>
      </c>
      <c r="Y62" s="2" t="s">
        <v>66</v>
      </c>
      <c r="Z62" s="2">
        <v>5</v>
      </c>
      <c r="AA62" s="2">
        <v>5</v>
      </c>
      <c r="AB62" s="2">
        <v>1</v>
      </c>
    </row>
    <row r="63" spans="11:28">
      <c r="O63" s="2" t="str">
        <v>1Special Fulgoran Crushing</v>
      </c>
      <c r="P63" s="2" t="e">
        <v>#REF!</v>
      </c>
      <c r="Q63" s="2" t="e">
        <v>#REF!</v>
      </c>
      <c r="R63" s="2" t="e">
        <v>#REF!</v>
      </c>
      <c r="S63" s="2" t="e">
        <v>#REF!</v>
      </c>
      <c r="T63" s="2" t="e">
        <v>#REF!</v>
      </c>
      <c r="W63" s="2" t="s">
        <v>102</v>
      </c>
      <c r="X63" s="2" t="s">
        <v>159</v>
      </c>
      <c r="Y63" s="2" t="s">
        <v>119</v>
      </c>
      <c r="Z63" s="2">
        <v>1</v>
      </c>
      <c r="AA63" s="2">
        <v>1</v>
      </c>
      <c r="AB63" s="2">
        <v>0.2</v>
      </c>
    </row>
    <row r="64" spans="11:28">
      <c r="W64" s="2" t="s">
        <v>101</v>
      </c>
      <c r="X64" s="2">
        <v>0</v>
      </c>
      <c r="Y64" s="2">
        <v>0</v>
      </c>
      <c r="Z64" s="2">
        <v>0</v>
      </c>
      <c r="AA64" s="2">
        <v>0</v>
      </c>
      <c r="AB64" s="2">
        <v>1</v>
      </c>
    </row>
    <row r="65" spans="23:28">
      <c r="W65" s="2" t="s">
        <v>49</v>
      </c>
      <c r="X65" s="2" t="s">
        <v>159</v>
      </c>
      <c r="Y65" s="2" t="s">
        <v>232</v>
      </c>
      <c r="Z65" s="2">
        <v>5</v>
      </c>
      <c r="AA65" s="2">
        <v>10</v>
      </c>
      <c r="AB65" s="2">
        <v>1</v>
      </c>
    </row>
    <row r="66" spans="23:28">
      <c r="W66" s="2" t="s">
        <v>100</v>
      </c>
      <c r="X66" s="2">
        <v>0</v>
      </c>
      <c r="Y66" s="2">
        <v>0</v>
      </c>
      <c r="Z66" s="2">
        <v>0</v>
      </c>
      <c r="AA66" s="2">
        <v>0</v>
      </c>
      <c r="AB66" s="2">
        <v>1</v>
      </c>
    </row>
    <row r="67" spans="23:28">
      <c r="W67" s="2" t="s">
        <v>50</v>
      </c>
      <c r="X67" s="2" t="s">
        <v>159</v>
      </c>
      <c r="Y67" s="2" t="s">
        <v>76</v>
      </c>
      <c r="Z67" s="2">
        <v>1</v>
      </c>
      <c r="AA67" s="2">
        <v>2</v>
      </c>
      <c r="AB67" s="2">
        <v>0.15</v>
      </c>
    </row>
    <row r="68" spans="23:28">
      <c r="W68" s="2" t="s">
        <v>40</v>
      </c>
      <c r="X68" s="2" t="s">
        <v>159</v>
      </c>
      <c r="Y68" s="2" t="s">
        <v>65</v>
      </c>
      <c r="Z68" s="2">
        <v>1</v>
      </c>
      <c r="AA68" s="2">
        <v>1</v>
      </c>
      <c r="AB68" s="2">
        <v>0.1</v>
      </c>
    </row>
    <row r="69" spans="23:28">
      <c r="W69" s="2" t="s">
        <v>52</v>
      </c>
      <c r="X69" s="2" t="s">
        <v>159</v>
      </c>
      <c r="Y69" s="2" t="s">
        <v>79</v>
      </c>
      <c r="Z69" s="2">
        <v>1</v>
      </c>
      <c r="AA69" s="2">
        <v>1</v>
      </c>
      <c r="AB69" s="2">
        <v>0.05</v>
      </c>
    </row>
    <row r="70" spans="23:28">
      <c r="W70" s="2" t="s">
        <v>51</v>
      </c>
      <c r="X70" s="2" t="s">
        <v>159</v>
      </c>
      <c r="Y70" s="2" t="s">
        <v>78</v>
      </c>
      <c r="Z70" s="2">
        <v>2</v>
      </c>
      <c r="AA70" s="2">
        <v>12</v>
      </c>
      <c r="AB70" s="2">
        <v>1</v>
      </c>
    </row>
    <row r="71" spans="23:28">
      <c r="W71" s="2" t="s">
        <v>105</v>
      </c>
      <c r="X71" s="2" t="s">
        <v>159</v>
      </c>
      <c r="Y71" s="2" t="s">
        <v>72</v>
      </c>
      <c r="Z71" s="2">
        <v>2</v>
      </c>
      <c r="AA71" s="2">
        <v>2</v>
      </c>
      <c r="AB71" s="2">
        <v>1</v>
      </c>
    </row>
    <row r="72" spans="23:28">
      <c r="W72" s="2" t="s">
        <v>103</v>
      </c>
      <c r="X72" s="2" t="s">
        <v>159</v>
      </c>
      <c r="Y72" s="2" t="s">
        <v>68</v>
      </c>
      <c r="Z72" s="2">
        <v>4</v>
      </c>
      <c r="AA72" s="2">
        <v>4</v>
      </c>
      <c r="AB72" s="2">
        <v>1</v>
      </c>
    </row>
    <row r="73" spans="23:28">
      <c r="W73" s="2" t="s">
        <v>104</v>
      </c>
      <c r="X73" s="2" t="s">
        <v>159</v>
      </c>
      <c r="Y73" s="2" t="s">
        <v>70</v>
      </c>
      <c r="Z73" s="2">
        <v>2</v>
      </c>
      <c r="AA73" s="2">
        <v>2</v>
      </c>
      <c r="AB73" s="2">
        <v>1</v>
      </c>
    </row>
    <row r="74" spans="23:28">
      <c r="W74" s="2" t="s">
        <v>233</v>
      </c>
      <c r="X74" s="2" t="s">
        <v>159</v>
      </c>
      <c r="Y74" s="2" t="s">
        <v>73</v>
      </c>
      <c r="Z74" s="2">
        <v>5</v>
      </c>
      <c r="AA74" s="2">
        <v>8</v>
      </c>
      <c r="AB74" s="2">
        <v>1</v>
      </c>
    </row>
    <row r="75" spans="23:28">
      <c r="W75" s="2" t="s">
        <v>160</v>
      </c>
      <c r="X75" s="2" t="s">
        <v>159</v>
      </c>
      <c r="Y75" s="2" t="s">
        <v>76</v>
      </c>
      <c r="Z75" s="2">
        <v>10</v>
      </c>
      <c r="AA75" s="2">
        <v>10</v>
      </c>
      <c r="AB75" s="2">
        <v>1</v>
      </c>
    </row>
    <row r="76" spans="23:28">
      <c r="W76" s="2" t="s">
        <v>46</v>
      </c>
      <c r="X76" s="2" t="s">
        <v>159</v>
      </c>
      <c r="Y76" s="2" t="s">
        <v>65</v>
      </c>
      <c r="Z76" s="2">
        <v>1</v>
      </c>
      <c r="AA76" s="2">
        <v>13</v>
      </c>
      <c r="AB76" s="2">
        <v>0.4</v>
      </c>
    </row>
    <row r="77" spans="23:28">
      <c r="W77" s="2" t="s">
        <v>161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</row>
    <row r="78" spans="23:28">
      <c r="W78" s="2" t="s">
        <v>162</v>
      </c>
      <c r="X78" s="2" t="s">
        <v>159</v>
      </c>
      <c r="Y78" s="2" t="s">
        <v>78</v>
      </c>
      <c r="Z78" s="2">
        <v>35</v>
      </c>
      <c r="AA78" s="2">
        <v>75</v>
      </c>
      <c r="AB78" s="2">
        <v>1</v>
      </c>
    </row>
    <row r="79" spans="23:28">
      <c r="W79" s="2" t="s">
        <v>166</v>
      </c>
      <c r="X79" s="2" t="s">
        <v>159</v>
      </c>
      <c r="Y79" s="2" t="s">
        <v>76</v>
      </c>
      <c r="Z79" s="2">
        <v>12</v>
      </c>
      <c r="AA79" s="2">
        <v>12</v>
      </c>
      <c r="AB79" s="2">
        <v>1</v>
      </c>
    </row>
    <row r="80" spans="23:28">
      <c r="W80" s="2" t="s">
        <v>163</v>
      </c>
      <c r="X80" s="2">
        <v>0</v>
      </c>
      <c r="Y80" s="2">
        <v>0</v>
      </c>
      <c r="Z80" s="2">
        <v>0</v>
      </c>
      <c r="AA80" s="2">
        <v>0</v>
      </c>
      <c r="AB80" s="2">
        <v>0</v>
      </c>
    </row>
    <row r="81" spans="23:28">
      <c r="W81" s="2" t="s">
        <v>165</v>
      </c>
      <c r="X81" s="2">
        <v>0</v>
      </c>
      <c r="Y81" s="2">
        <v>0</v>
      </c>
      <c r="Z81" s="2">
        <v>0</v>
      </c>
      <c r="AA81" s="2">
        <v>0</v>
      </c>
      <c r="AB81" s="2">
        <v>0</v>
      </c>
    </row>
    <row r="82" spans="23:28">
      <c r="W82" s="2" t="s">
        <v>164</v>
      </c>
      <c r="X82" s="2" t="s">
        <v>158</v>
      </c>
      <c r="Y82" s="2" t="s">
        <v>168</v>
      </c>
      <c r="Z82" s="2">
        <v>20</v>
      </c>
      <c r="AA82" s="2">
        <v>20</v>
      </c>
      <c r="AB82" s="2">
        <v>1</v>
      </c>
    </row>
    <row r="83" spans="23:28">
      <c r="W83" s="2" t="s">
        <v>102</v>
      </c>
      <c r="X83" s="2">
        <v>0</v>
      </c>
      <c r="Y83" s="2">
        <v>0</v>
      </c>
      <c r="Z83" s="2">
        <v>0</v>
      </c>
      <c r="AA83" s="2">
        <v>0</v>
      </c>
      <c r="AB83" s="2">
        <v>0</v>
      </c>
    </row>
    <row r="84" spans="23:28">
      <c r="W84" s="2" t="s">
        <v>101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</row>
    <row r="85" spans="23:28">
      <c r="W85" s="2" t="s">
        <v>49</v>
      </c>
      <c r="X85" s="2">
        <v>0</v>
      </c>
      <c r="Y85" s="2">
        <v>0</v>
      </c>
      <c r="Z85" s="2">
        <v>0</v>
      </c>
      <c r="AA85" s="2">
        <v>0</v>
      </c>
      <c r="AB85" s="2">
        <v>0</v>
      </c>
    </row>
    <row r="86" spans="23:28">
      <c r="W86" s="2" t="s">
        <v>100</v>
      </c>
      <c r="X86" s="2">
        <v>0</v>
      </c>
      <c r="Y86" s="2">
        <v>0</v>
      </c>
      <c r="Z86" s="2">
        <v>0</v>
      </c>
      <c r="AA86" s="2">
        <v>0</v>
      </c>
      <c r="AB86" s="2">
        <v>0</v>
      </c>
    </row>
    <row r="87" spans="23:28">
      <c r="W87" s="2" t="s">
        <v>50</v>
      </c>
      <c r="X87" s="2">
        <v>0</v>
      </c>
      <c r="Y87" s="2">
        <v>0</v>
      </c>
      <c r="Z87" s="2">
        <v>0</v>
      </c>
      <c r="AA87" s="2">
        <v>0</v>
      </c>
      <c r="AB87" s="2">
        <v>0</v>
      </c>
    </row>
    <row r="88" spans="23:28">
      <c r="W88" s="2" t="s">
        <v>40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</row>
    <row r="89" spans="23:28">
      <c r="W89" s="2" t="s">
        <v>52</v>
      </c>
      <c r="X89" s="2" t="s">
        <v>159</v>
      </c>
      <c r="Y89" s="2" t="s">
        <v>80</v>
      </c>
      <c r="Z89" s="2">
        <v>1</v>
      </c>
      <c r="AA89" s="2">
        <v>1</v>
      </c>
      <c r="AB89" s="2">
        <v>0.05</v>
      </c>
    </row>
    <row r="90" spans="23:28">
      <c r="W90" s="2" t="s">
        <v>51</v>
      </c>
      <c r="X90" s="2">
        <v>0</v>
      </c>
      <c r="Y90" s="2">
        <v>0</v>
      </c>
      <c r="Z90" s="2">
        <v>0</v>
      </c>
      <c r="AA90" s="2">
        <v>0</v>
      </c>
      <c r="AB90" s="2">
        <v>0</v>
      </c>
    </row>
    <row r="91" spans="23:28">
      <c r="W91" s="2" t="s">
        <v>105</v>
      </c>
      <c r="X91" s="2" t="s">
        <v>159</v>
      </c>
      <c r="Y91" s="2" t="s">
        <v>119</v>
      </c>
      <c r="Z91" s="2">
        <v>1</v>
      </c>
      <c r="AA91" s="2">
        <v>1</v>
      </c>
      <c r="AB91" s="2">
        <v>0.05</v>
      </c>
    </row>
    <row r="92" spans="23:28">
      <c r="W92" s="2" t="s">
        <v>103</v>
      </c>
      <c r="X92" s="2" t="s">
        <v>159</v>
      </c>
      <c r="Y92" s="2" t="s">
        <v>120</v>
      </c>
      <c r="Z92" s="2">
        <v>1</v>
      </c>
      <c r="AA92" s="2">
        <v>1</v>
      </c>
      <c r="AB92" s="2">
        <v>0.05</v>
      </c>
    </row>
    <row r="93" spans="23:28">
      <c r="W93" s="2" t="s">
        <v>104</v>
      </c>
      <c r="X93" s="2" t="s">
        <v>159</v>
      </c>
      <c r="Y93" s="2" t="s">
        <v>118</v>
      </c>
      <c r="Z93" s="2">
        <v>1</v>
      </c>
      <c r="AA93" s="2">
        <v>1</v>
      </c>
      <c r="AB93" s="2">
        <v>0.05</v>
      </c>
    </row>
    <row r="94" spans="23:28">
      <c r="W94" s="2" t="s">
        <v>233</v>
      </c>
      <c r="X94" s="2">
        <v>0</v>
      </c>
      <c r="Y94" s="2">
        <v>0</v>
      </c>
      <c r="Z94" s="2">
        <v>0</v>
      </c>
      <c r="AA94" s="2">
        <v>0</v>
      </c>
      <c r="AB94" s="2">
        <v>0</v>
      </c>
    </row>
    <row r="95" spans="23:28">
      <c r="W95" s="2" t="s">
        <v>160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</row>
    <row r="96" spans="23:28">
      <c r="W96" s="2" t="s">
        <v>46</v>
      </c>
      <c r="X96" s="2">
        <v>0</v>
      </c>
      <c r="Y96" s="2">
        <v>0</v>
      </c>
      <c r="Z96" s="2">
        <v>0</v>
      </c>
      <c r="AA96" s="2">
        <v>0</v>
      </c>
      <c r="AB96" s="2">
        <v>0</v>
      </c>
    </row>
    <row r="97" spans="23:28">
      <c r="W97" s="2" t="s">
        <v>161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</row>
    <row r="98" spans="23:28">
      <c r="W98" s="2" t="s">
        <v>162</v>
      </c>
      <c r="X98" s="2" t="s">
        <v>159</v>
      </c>
      <c r="Y98" s="2" t="s">
        <v>167</v>
      </c>
      <c r="Z98" s="2">
        <v>3</v>
      </c>
      <c r="AA98" s="2">
        <v>8</v>
      </c>
      <c r="AB98" s="2">
        <v>0.5</v>
      </c>
    </row>
    <row r="99" spans="23:28">
      <c r="W99" s="2" t="s">
        <v>166</v>
      </c>
      <c r="X99" s="2">
        <v>0</v>
      </c>
      <c r="Y99" s="2">
        <v>0</v>
      </c>
      <c r="Z99" s="2">
        <v>0</v>
      </c>
      <c r="AA99" s="2">
        <v>0</v>
      </c>
      <c r="AB99" s="2">
        <v>0</v>
      </c>
    </row>
    <row r="100" spans="23:28">
      <c r="W100" s="2" t="s">
        <v>163</v>
      </c>
      <c r="X100" s="2">
        <v>0</v>
      </c>
      <c r="Y100" s="2">
        <v>0</v>
      </c>
      <c r="Z100" s="2">
        <v>0</v>
      </c>
      <c r="AA100" s="2">
        <v>0</v>
      </c>
      <c r="AB100" s="2">
        <v>0</v>
      </c>
    </row>
    <row r="101" spans="23:28">
      <c r="W101" s="2" t="s">
        <v>165</v>
      </c>
      <c r="X101" s="2">
        <v>0</v>
      </c>
      <c r="Y101" s="2">
        <v>0</v>
      </c>
      <c r="Z101" s="2">
        <v>0</v>
      </c>
      <c r="AA101" s="2">
        <v>0</v>
      </c>
      <c r="AB101" s="2">
        <v>0</v>
      </c>
    </row>
    <row r="102" spans="23:28">
      <c r="W102" s="2" t="s">
        <v>164</v>
      </c>
      <c r="X102" s="2" t="s">
        <v>158</v>
      </c>
      <c r="Y102" s="2" t="s">
        <v>169</v>
      </c>
      <c r="Z102" s="2">
        <v>20</v>
      </c>
      <c r="AA102" s="2">
        <v>20</v>
      </c>
      <c r="AB102" s="2">
        <v>1</v>
      </c>
    </row>
    <row r="103" spans="23:28">
      <c r="W103" s="2" t="s">
        <v>102</v>
      </c>
      <c r="X103" s="2">
        <v>0</v>
      </c>
      <c r="Y103" s="2">
        <v>0</v>
      </c>
      <c r="Z103" s="2">
        <v>0</v>
      </c>
      <c r="AA103" s="2">
        <v>0</v>
      </c>
      <c r="AB103" s="2">
        <v>0</v>
      </c>
    </row>
    <row r="104" spans="23:28">
      <c r="W104" s="2" t="s">
        <v>101</v>
      </c>
      <c r="X104" s="2">
        <v>0</v>
      </c>
      <c r="Y104" s="2">
        <v>0</v>
      </c>
      <c r="Z104" s="2">
        <v>0</v>
      </c>
      <c r="AA104" s="2">
        <v>0</v>
      </c>
      <c r="AB104" s="2">
        <v>0</v>
      </c>
    </row>
    <row r="105" spans="23:28">
      <c r="W105" s="2" t="s">
        <v>49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</row>
    <row r="106" spans="23:28">
      <c r="W106" s="2" t="s">
        <v>100</v>
      </c>
      <c r="X106" s="2">
        <v>0</v>
      </c>
      <c r="Y106" s="2">
        <v>0</v>
      </c>
      <c r="Z106" s="2">
        <v>0</v>
      </c>
      <c r="AA106" s="2">
        <v>0</v>
      </c>
      <c r="AB106" s="2">
        <v>0</v>
      </c>
    </row>
    <row r="107" spans="23:28">
      <c r="W107" s="2" t="s">
        <v>50</v>
      </c>
      <c r="X107" s="2" t="s">
        <v>159</v>
      </c>
      <c r="Y107" s="2" t="s">
        <v>224</v>
      </c>
      <c r="Z107" s="2">
        <v>1</v>
      </c>
      <c r="AA107" s="2">
        <v>1</v>
      </c>
      <c r="AB107" s="2">
        <v>0.05</v>
      </c>
    </row>
    <row r="108" spans="23:28">
      <c r="W108" s="2" t="s">
        <v>40</v>
      </c>
      <c r="X108" s="2" t="s">
        <v>159</v>
      </c>
      <c r="Y108" s="2" t="s">
        <v>225</v>
      </c>
      <c r="Z108" s="2">
        <v>1</v>
      </c>
      <c r="AA108" s="2">
        <v>1</v>
      </c>
      <c r="AB108" s="2">
        <v>0.05</v>
      </c>
    </row>
    <row r="109" spans="23:28">
      <c r="W109" s="2" t="s">
        <v>52</v>
      </c>
      <c r="X109" s="2" t="s">
        <v>159</v>
      </c>
      <c r="Y109" s="2" t="s">
        <v>226</v>
      </c>
      <c r="Z109" s="2">
        <v>1</v>
      </c>
      <c r="AA109" s="2">
        <v>1</v>
      </c>
      <c r="AB109" s="2">
        <v>0.05</v>
      </c>
    </row>
    <row r="110" spans="23:28">
      <c r="W110" s="2" t="s">
        <v>51</v>
      </c>
      <c r="X110" s="2" t="s">
        <v>159</v>
      </c>
      <c r="Y110" s="2" t="s">
        <v>227</v>
      </c>
      <c r="Z110" s="2">
        <v>1</v>
      </c>
      <c r="AA110" s="2">
        <v>1</v>
      </c>
      <c r="AB110" s="2">
        <v>0.05</v>
      </c>
    </row>
    <row r="111" spans="23:28">
      <c r="W111" s="2" t="s">
        <v>105</v>
      </c>
      <c r="X111" s="2" t="s">
        <v>159</v>
      </c>
      <c r="Y111" s="2">
        <v>0</v>
      </c>
      <c r="Z111" s="2">
        <v>0</v>
      </c>
      <c r="AA111" s="2">
        <v>0</v>
      </c>
      <c r="AB111" s="2">
        <v>0</v>
      </c>
    </row>
    <row r="112" spans="23:28">
      <c r="W112" s="2" t="s">
        <v>103</v>
      </c>
      <c r="X112" s="2" t="s">
        <v>159</v>
      </c>
      <c r="Y112" s="2">
        <v>0</v>
      </c>
      <c r="Z112" s="2">
        <v>0</v>
      </c>
      <c r="AA112" s="2">
        <v>0</v>
      </c>
      <c r="AB112" s="2">
        <v>0</v>
      </c>
    </row>
    <row r="113" spans="23:28">
      <c r="W113" s="2" t="s">
        <v>104</v>
      </c>
      <c r="X113" s="2" t="s">
        <v>159</v>
      </c>
      <c r="Y113" s="2">
        <v>0</v>
      </c>
      <c r="Z113" s="2">
        <v>0</v>
      </c>
      <c r="AA113" s="2">
        <v>0</v>
      </c>
      <c r="AB113" s="2">
        <v>0</v>
      </c>
    </row>
    <row r="114" spans="23:28">
      <c r="W114" s="2" t="s">
        <v>233</v>
      </c>
      <c r="X114" s="2" t="s">
        <v>159</v>
      </c>
      <c r="Y114" s="2" t="s">
        <v>223</v>
      </c>
      <c r="Z114" s="2">
        <v>1</v>
      </c>
      <c r="AA114" s="2">
        <v>1</v>
      </c>
      <c r="AB114" s="2">
        <v>0.05</v>
      </c>
    </row>
    <row r="115" spans="23:28">
      <c r="W115" s="2" t="s">
        <v>160</v>
      </c>
      <c r="X115" s="2" t="s">
        <v>159</v>
      </c>
      <c r="Y115" s="2" t="s">
        <v>224</v>
      </c>
      <c r="Z115" s="2">
        <v>1</v>
      </c>
      <c r="AA115" s="2">
        <v>1</v>
      </c>
      <c r="AB115" s="2">
        <v>0.05</v>
      </c>
    </row>
    <row r="116" spans="23:28">
      <c r="W116" s="2" t="s">
        <v>46</v>
      </c>
      <c r="X116" s="2" t="s">
        <v>159</v>
      </c>
      <c r="Y116" s="2" t="s">
        <v>225</v>
      </c>
      <c r="Z116" s="2">
        <v>1</v>
      </c>
      <c r="AA116" s="2">
        <v>1</v>
      </c>
      <c r="AB116" s="2">
        <v>0.05</v>
      </c>
    </row>
    <row r="117" spans="23:28">
      <c r="W117" s="2" t="s">
        <v>161</v>
      </c>
      <c r="X117" s="2" t="s">
        <v>159</v>
      </c>
      <c r="Y117" s="2" t="s">
        <v>226</v>
      </c>
      <c r="Z117" s="2">
        <v>1</v>
      </c>
      <c r="AA117" s="2">
        <v>1</v>
      </c>
      <c r="AB117" s="2">
        <v>0.05</v>
      </c>
    </row>
    <row r="118" spans="23:28">
      <c r="W118" s="2" t="s">
        <v>162</v>
      </c>
      <c r="X118" s="2" t="s">
        <v>159</v>
      </c>
      <c r="Y118" s="2" t="s">
        <v>227</v>
      </c>
      <c r="Z118" s="2">
        <v>1</v>
      </c>
      <c r="AA118" s="2">
        <v>1</v>
      </c>
      <c r="AB118" s="2">
        <v>0.05</v>
      </c>
    </row>
    <row r="119" spans="23:28">
      <c r="W119" s="2" t="s">
        <v>166</v>
      </c>
      <c r="X119" s="2">
        <v>0</v>
      </c>
      <c r="Y119" s="2">
        <v>0</v>
      </c>
      <c r="Z119" s="2">
        <v>0</v>
      </c>
      <c r="AA119" s="2">
        <v>0</v>
      </c>
      <c r="AB119" s="2">
        <v>0</v>
      </c>
    </row>
    <row r="120" spans="23:28">
      <c r="W120" s="2" t="s">
        <v>163</v>
      </c>
      <c r="X120" s="2">
        <v>0</v>
      </c>
      <c r="Y120" s="2">
        <v>0</v>
      </c>
      <c r="Z120" s="2">
        <v>0</v>
      </c>
      <c r="AA120" s="2">
        <v>0</v>
      </c>
      <c r="AB120" s="2">
        <v>0</v>
      </c>
    </row>
    <row r="121" spans="23:28">
      <c r="W121" s="2" t="s">
        <v>165</v>
      </c>
      <c r="X121" s="2">
        <v>0</v>
      </c>
      <c r="Y121" s="2">
        <v>0</v>
      </c>
      <c r="Z121" s="2">
        <v>0</v>
      </c>
      <c r="AA121" s="2">
        <v>0</v>
      </c>
      <c r="AB121" s="2">
        <v>0</v>
      </c>
    </row>
    <row r="122" spans="23:28">
      <c r="W122" s="2" t="s">
        <v>164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</row>
  </sheetData>
  <sortState xmlns:xlrd2="http://schemas.microsoft.com/office/spreadsheetml/2017/richdata2" ref="AL48:AL59">
    <sortCondition ref="AL48:AL59"/>
  </sortState>
  <phoneticPr fontId="1" type="noConversion"/>
  <conditionalFormatting sqref="C8:E28 AP8:AP28 F13:AE13 AF13:AM15 F14:Y14 AA14:AE14 F15:AE15 F16:AM18 E19:Y19 AE19:AM19 F20:AM27 F8:AM12">
    <cfRule type="expression" dxfId="16" priority="3">
      <formula>LEN($D8) &gt; 0</formula>
    </cfRule>
  </conditionalFormatting>
  <conditionalFormatting sqref="H28">
    <cfRule type="expression" dxfId="22" priority="2">
      <formula>LEN($D28) &gt; 0</formula>
    </cfRule>
  </conditionalFormatting>
  <conditionalFormatting sqref="I28">
    <cfRule type="expression" dxfId="21" priority="1">
      <formula>LEN($D28) &gt; 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AC3E1-19B2-497F-BF02-30D86B7FD830}">
  <dimension ref="B3:K59"/>
  <sheetViews>
    <sheetView tabSelected="1" workbookViewId="0">
      <selection activeCell="M10" sqref="M10"/>
    </sheetView>
    <sheetView workbookViewId="1">
      <selection activeCell="O21" sqref="O21"/>
    </sheetView>
  </sheetViews>
  <sheetFormatPr defaultRowHeight="14.25"/>
  <cols>
    <col min="1" max="1" width="3.75" customWidth="1"/>
    <col min="2" max="2" width="31.5" bestFit="1" customWidth="1"/>
    <col min="3" max="3" width="7.5" bestFit="1" customWidth="1"/>
    <col min="4" max="4" width="25.375" bestFit="1" customWidth="1"/>
    <col min="5" max="10" width="10.375" customWidth="1"/>
    <col min="15" max="15" width="31.5" bestFit="1" customWidth="1"/>
    <col min="16" max="16" width="25.625" bestFit="1" customWidth="1"/>
    <col min="17" max="17" width="25.375" bestFit="1" customWidth="1"/>
    <col min="18" max="18" width="27.625" bestFit="1" customWidth="1"/>
    <col min="19" max="19" width="25" bestFit="1" customWidth="1"/>
    <col min="20" max="20" width="26.125" bestFit="1" customWidth="1"/>
    <col min="21" max="21" width="13.125" bestFit="1" customWidth="1"/>
    <col min="22" max="22" width="27.625" bestFit="1" customWidth="1"/>
    <col min="23" max="23" width="6.625" bestFit="1" customWidth="1"/>
    <col min="24" max="24" width="7" bestFit="1" customWidth="1"/>
    <col min="25" max="25" width="22.75" bestFit="1" customWidth="1"/>
    <col min="26" max="26" width="4.5" bestFit="1" customWidth="1"/>
    <col min="27" max="27" width="10.75" bestFit="1" customWidth="1"/>
    <col min="28" max="28" width="8.875" bestFit="1" customWidth="1"/>
    <col min="29" max="29" width="11.875" bestFit="1" customWidth="1"/>
    <col min="30" max="30" width="16.125" bestFit="1" customWidth="1"/>
    <col min="31" max="31" width="3.5" bestFit="1" customWidth="1"/>
    <col min="32" max="32" width="8" bestFit="1" customWidth="1"/>
    <col min="33" max="33" width="12.25" bestFit="1" customWidth="1"/>
    <col min="34" max="34" width="4.875" bestFit="1" customWidth="1"/>
    <col min="35" max="35" width="6.75" bestFit="1" customWidth="1"/>
    <col min="36" max="36" width="21.875" bestFit="1" customWidth="1"/>
    <col min="37" max="37" width="19.875" bestFit="1" customWidth="1"/>
    <col min="38" max="38" width="5.75" bestFit="1" customWidth="1"/>
    <col min="39" max="39" width="8.375" bestFit="1" customWidth="1"/>
    <col min="40" max="40" width="5.875" bestFit="1" customWidth="1"/>
    <col min="41" max="41" width="6" bestFit="1" customWidth="1"/>
    <col min="42" max="42" width="12.375" bestFit="1" customWidth="1"/>
    <col min="43" max="45" width="11.625" bestFit="1" customWidth="1"/>
    <col min="46" max="46" width="12.5" bestFit="1" customWidth="1"/>
    <col min="47" max="47" width="11.375" bestFit="1" customWidth="1"/>
  </cols>
  <sheetData>
    <row r="3" spans="2:11" s="14" customFormat="1" ht="54" customHeight="1">
      <c r="B3" s="15" t="s">
        <v>23</v>
      </c>
      <c r="C3" s="15" t="s">
        <v>29</v>
      </c>
      <c r="D3" s="15" t="s">
        <v>30</v>
      </c>
      <c r="E3" s="15" t="s">
        <v>245</v>
      </c>
      <c r="F3" s="15" t="s">
        <v>246</v>
      </c>
      <c r="G3" s="15" t="s">
        <v>247</v>
      </c>
      <c r="H3" s="15" t="s">
        <v>249</v>
      </c>
      <c r="I3" s="15" t="s">
        <v>248</v>
      </c>
      <c r="J3" s="15" t="s">
        <v>250</v>
      </c>
      <c r="K3" s="15" t="s">
        <v>346</v>
      </c>
    </row>
    <row r="4" spans="2:11">
      <c r="B4" s="2" t="s">
        <v>102</v>
      </c>
      <c r="C4" s="2" t="s">
        <v>159</v>
      </c>
      <c r="D4" s="2" t="s">
        <v>71</v>
      </c>
      <c r="E4" s="2">
        <v>5</v>
      </c>
      <c r="F4" s="2">
        <v>5</v>
      </c>
      <c r="G4" s="2">
        <v>1</v>
      </c>
      <c r="H4" s="2">
        <f>INDEX(Table7[energy_required], MATCH(Table8[[#This Row],[Recipe]], Table7[Recipe], 0))</f>
        <v>2</v>
      </c>
      <c r="I4" s="2">
        <f>AVERAGE(Table8[[#This Row],[amount_min]], Table8[[#This Row],[amount_max]]) * Table8[[#This Row],[P]]</f>
        <v>5</v>
      </c>
      <c r="J4" s="2">
        <f>Table8[[#This Row],[EV]] / Table8[[#This Row],[Duration]]</f>
        <v>2.5</v>
      </c>
      <c r="K4" s="2">
        <f>IFERROR(1/Table8[[#This Row],[EV/s]], 0)</f>
        <v>0.4</v>
      </c>
    </row>
    <row r="5" spans="2:11">
      <c r="B5" s="2" t="s">
        <v>102</v>
      </c>
      <c r="C5" s="2" t="s">
        <v>159</v>
      </c>
      <c r="D5" s="2" t="s">
        <v>119</v>
      </c>
      <c r="E5" s="2">
        <v>1</v>
      </c>
      <c r="F5" s="2">
        <v>1</v>
      </c>
      <c r="G5" s="2">
        <v>0.2</v>
      </c>
      <c r="H5" s="2">
        <f>INDEX(Table7[energy_required], MATCH(Table8[[#This Row],[Recipe]], Table7[Recipe], 0))</f>
        <v>2</v>
      </c>
      <c r="I5" s="2">
        <f>AVERAGE(Table8[[#This Row],[amount_min]], Table8[[#This Row],[amount_max]]) * Table8[[#This Row],[P]]</f>
        <v>0.2</v>
      </c>
      <c r="J5" s="2">
        <f>Table8[[#This Row],[EV]] / Table8[[#This Row],[Duration]]</f>
        <v>0.1</v>
      </c>
      <c r="K5" s="2">
        <f>IFERROR(1/Table8[[#This Row],[EV/s]], 0)</f>
        <v>10</v>
      </c>
    </row>
    <row r="6" spans="2:11">
      <c r="B6" s="2" t="s">
        <v>351</v>
      </c>
      <c r="C6" s="2" t="s">
        <v>159</v>
      </c>
      <c r="D6" s="2" t="s">
        <v>67</v>
      </c>
      <c r="E6" s="2">
        <v>20</v>
      </c>
      <c r="F6" s="2">
        <v>20</v>
      </c>
      <c r="G6" s="2">
        <v>1</v>
      </c>
      <c r="H6" s="2">
        <f>INDEX(Table7[energy_required], MATCH(Table8[[#This Row],[Recipe]], Table7[Recipe], 0))</f>
        <v>2</v>
      </c>
      <c r="I6" s="2">
        <f>AVERAGE(Table8[[#This Row],[amount_min]], Table8[[#This Row],[amount_max]]) * Table8[[#This Row],[P]]</f>
        <v>20</v>
      </c>
      <c r="J6" s="2">
        <f>Table8[[#This Row],[EV]] / Table8[[#This Row],[Duration]]</f>
        <v>10</v>
      </c>
      <c r="K6" s="2">
        <f>IFERROR(1/Table8[[#This Row],[EV/s]], 0)</f>
        <v>0.1</v>
      </c>
    </row>
    <row r="7" spans="2:11">
      <c r="B7" s="2" t="s">
        <v>49</v>
      </c>
      <c r="C7" s="2" t="s">
        <v>159</v>
      </c>
      <c r="D7" s="2" t="s">
        <v>223</v>
      </c>
      <c r="E7" s="2">
        <v>1</v>
      </c>
      <c r="F7" s="2">
        <v>1</v>
      </c>
      <c r="G7" s="2">
        <v>0.2</v>
      </c>
      <c r="H7" s="2">
        <f>INDEX(Table7[energy_required], MATCH(Table8[[#This Row],[Recipe]], Table7[Recipe], 0))</f>
        <v>2</v>
      </c>
      <c r="I7" s="2">
        <f>AVERAGE(Table8[[#This Row],[amount_min]], Table8[[#This Row],[amount_max]]) * Table8[[#This Row],[P]]</f>
        <v>0.2</v>
      </c>
      <c r="J7" s="2">
        <f>Table8[[#This Row],[EV]] / Table8[[#This Row],[Duration]]</f>
        <v>0.1</v>
      </c>
      <c r="K7" s="2">
        <f>IFERROR(1/Table8[[#This Row],[EV/s]], 0)</f>
        <v>10</v>
      </c>
    </row>
    <row r="8" spans="2:11">
      <c r="B8" s="2" t="s">
        <v>49</v>
      </c>
      <c r="C8" s="2" t="s">
        <v>159</v>
      </c>
      <c r="D8" s="2" t="s">
        <v>232</v>
      </c>
      <c r="E8" s="2">
        <v>4</v>
      </c>
      <c r="F8" s="2">
        <v>5</v>
      </c>
      <c r="G8" s="2">
        <v>1</v>
      </c>
      <c r="H8" s="2">
        <f>INDEX(Table7[energy_required], MATCH(Table8[[#This Row],[Recipe]], Table7[Recipe], 0))</f>
        <v>2</v>
      </c>
      <c r="I8" s="2">
        <f>AVERAGE(Table8[[#This Row],[amount_min]], Table8[[#This Row],[amount_max]]) * Table8[[#This Row],[P]]</f>
        <v>4.5</v>
      </c>
      <c r="J8" s="2">
        <f>Table8[[#This Row],[EV]] / Table8[[#This Row],[Duration]]</f>
        <v>2.25</v>
      </c>
      <c r="K8" s="2">
        <f>IFERROR(1/Table8[[#This Row],[EV/s]], 0)</f>
        <v>0.44444444444444442</v>
      </c>
    </row>
    <row r="9" spans="2:11">
      <c r="B9" s="2" t="s">
        <v>49</v>
      </c>
      <c r="C9" s="2" t="s">
        <v>159</v>
      </c>
      <c r="D9" s="2" t="s">
        <v>66</v>
      </c>
      <c r="E9" s="2">
        <v>5</v>
      </c>
      <c r="F9" s="2">
        <v>5</v>
      </c>
      <c r="G9" s="2">
        <v>1</v>
      </c>
      <c r="H9" s="2">
        <f>INDEX(Table7[energy_required], MATCH(Table8[[#This Row],[Recipe]], Table7[Recipe], 0))</f>
        <v>2</v>
      </c>
      <c r="I9" s="2">
        <f>AVERAGE(Table8[[#This Row],[amount_min]], Table8[[#This Row],[amount_max]]) * Table8[[#This Row],[P]]</f>
        <v>5</v>
      </c>
      <c r="J9" s="2">
        <f>Table8[[#This Row],[EV]] / Table8[[#This Row],[Duration]]</f>
        <v>2.5</v>
      </c>
      <c r="K9" s="2">
        <f>IFERROR(1/Table8[[#This Row],[EV/s]], 0)</f>
        <v>0.4</v>
      </c>
    </row>
    <row r="10" spans="2:11">
      <c r="B10" s="2" t="s">
        <v>352</v>
      </c>
      <c r="C10" s="2" t="s">
        <v>159</v>
      </c>
      <c r="D10" s="2" t="s">
        <v>69</v>
      </c>
      <c r="E10" s="2">
        <v>10</v>
      </c>
      <c r="F10" s="2">
        <v>10</v>
      </c>
      <c r="G10" s="2">
        <v>1</v>
      </c>
      <c r="H10" s="2">
        <f>INDEX(Table7[energy_required], MATCH(Table8[[#This Row],[Recipe]], Table7[Recipe], 0))</f>
        <v>2</v>
      </c>
      <c r="I10" s="2">
        <f>AVERAGE(Table8[[#This Row],[amount_min]], Table8[[#This Row],[amount_max]]) * Table8[[#This Row],[P]]</f>
        <v>10</v>
      </c>
      <c r="J10" s="2">
        <f>Table8[[#This Row],[EV]] / Table8[[#This Row],[Duration]]</f>
        <v>5</v>
      </c>
      <c r="K10" s="2">
        <f>IFERROR(1/Table8[[#This Row],[EV/s]], 0)</f>
        <v>0.2</v>
      </c>
    </row>
    <row r="11" spans="2:11">
      <c r="B11" s="2" t="s">
        <v>50</v>
      </c>
      <c r="C11" s="2" t="s">
        <v>159</v>
      </c>
      <c r="D11" s="2" t="s">
        <v>224</v>
      </c>
      <c r="E11" s="2">
        <v>1</v>
      </c>
      <c r="F11" s="2">
        <v>1</v>
      </c>
      <c r="G11" s="2">
        <v>0.2</v>
      </c>
      <c r="H11" s="2">
        <f>INDEX(Table7[energy_required], MATCH(Table8[[#This Row],[Recipe]], Table7[Recipe], 0))</f>
        <v>2</v>
      </c>
      <c r="I11" s="2">
        <f>AVERAGE(Table8[[#This Row],[amount_min]], Table8[[#This Row],[amount_max]]) * Table8[[#This Row],[P]]</f>
        <v>0.2</v>
      </c>
      <c r="J11" s="2">
        <f>Table8[[#This Row],[EV]] / Table8[[#This Row],[Duration]]</f>
        <v>0.1</v>
      </c>
      <c r="K11" s="2">
        <f>IFERROR(1/Table8[[#This Row],[EV/s]], 0)</f>
        <v>10</v>
      </c>
    </row>
    <row r="12" spans="2:11">
      <c r="B12" s="2" t="s">
        <v>50</v>
      </c>
      <c r="C12" s="2" t="s">
        <v>159</v>
      </c>
      <c r="D12" s="2" t="s">
        <v>66</v>
      </c>
      <c r="E12" s="2">
        <v>5</v>
      </c>
      <c r="F12" s="2">
        <v>5</v>
      </c>
      <c r="G12" s="2">
        <v>1</v>
      </c>
      <c r="H12" s="2">
        <f>INDEX(Table7[energy_required], MATCH(Table8[[#This Row],[Recipe]], Table7[Recipe], 0))</f>
        <v>2</v>
      </c>
      <c r="I12" s="2">
        <f>AVERAGE(Table8[[#This Row],[amount_min]], Table8[[#This Row],[amount_max]]) * Table8[[#This Row],[P]]</f>
        <v>5</v>
      </c>
      <c r="J12" s="2">
        <f>Table8[[#This Row],[EV]] / Table8[[#This Row],[Duration]]</f>
        <v>2.5</v>
      </c>
      <c r="K12" s="2">
        <f>IFERROR(1/Table8[[#This Row],[EV/s]], 0)</f>
        <v>0.4</v>
      </c>
    </row>
    <row r="13" spans="2:11">
      <c r="B13" s="2" t="s">
        <v>50</v>
      </c>
      <c r="C13" s="2" t="s">
        <v>159</v>
      </c>
      <c r="D13" s="2" t="s">
        <v>76</v>
      </c>
      <c r="E13" s="2">
        <v>4</v>
      </c>
      <c r="F13" s="2">
        <v>5</v>
      </c>
      <c r="G13" s="2">
        <v>1</v>
      </c>
      <c r="H13" s="2">
        <f>INDEX(Table7[energy_required], MATCH(Table8[[#This Row],[Recipe]], Table7[Recipe], 0))</f>
        <v>2</v>
      </c>
      <c r="I13" s="2">
        <f>AVERAGE(Table8[[#This Row],[amount_min]], Table8[[#This Row],[amount_max]]) * Table8[[#This Row],[P]]</f>
        <v>4.5</v>
      </c>
      <c r="J13" s="2">
        <f>Table8[[#This Row],[EV]] / Table8[[#This Row],[Duration]]</f>
        <v>2.25</v>
      </c>
      <c r="K13" s="2">
        <f>IFERROR(1/Table8[[#This Row],[EV/s]], 0)</f>
        <v>0.44444444444444442</v>
      </c>
    </row>
    <row r="14" spans="2:11">
      <c r="B14" s="2" t="s">
        <v>40</v>
      </c>
      <c r="C14" s="2" t="s">
        <v>159</v>
      </c>
      <c r="D14" s="2" t="s">
        <v>225</v>
      </c>
      <c r="E14" s="2">
        <v>1</v>
      </c>
      <c r="F14" s="2">
        <v>1</v>
      </c>
      <c r="G14" s="2">
        <v>0.2</v>
      </c>
      <c r="H14" s="2">
        <f>INDEX(Table7[energy_required], MATCH(Table8[[#This Row],[Recipe]], Table7[Recipe], 0))</f>
        <v>2</v>
      </c>
      <c r="I14" s="2">
        <f>AVERAGE(Table8[[#This Row],[amount_min]], Table8[[#This Row],[amount_max]]) * Table8[[#This Row],[P]]</f>
        <v>0.2</v>
      </c>
      <c r="J14" s="2">
        <f>Table8[[#This Row],[EV]] / Table8[[#This Row],[Duration]]</f>
        <v>0.1</v>
      </c>
      <c r="K14" s="2">
        <f>IFERROR(1/Table8[[#This Row],[EV/s]], 0)</f>
        <v>10</v>
      </c>
    </row>
    <row r="15" spans="2:11">
      <c r="B15" s="2" t="s">
        <v>40</v>
      </c>
      <c r="C15" s="2" t="s">
        <v>159</v>
      </c>
      <c r="D15" s="2" t="s">
        <v>66</v>
      </c>
      <c r="E15" s="2">
        <v>5</v>
      </c>
      <c r="F15" s="2">
        <v>5</v>
      </c>
      <c r="G15" s="2">
        <v>1</v>
      </c>
      <c r="H15" s="2">
        <f>INDEX(Table7[energy_required], MATCH(Table8[[#This Row],[Recipe]], Table7[Recipe], 0))</f>
        <v>2</v>
      </c>
      <c r="I15" s="2">
        <f>AVERAGE(Table8[[#This Row],[amount_min]], Table8[[#This Row],[amount_max]]) * Table8[[#This Row],[P]]</f>
        <v>5</v>
      </c>
      <c r="J15" s="2">
        <f>Table8[[#This Row],[EV]] / Table8[[#This Row],[Duration]]</f>
        <v>2.5</v>
      </c>
      <c r="K15" s="2">
        <f>IFERROR(1/Table8[[#This Row],[EV/s]], 0)</f>
        <v>0.4</v>
      </c>
    </row>
    <row r="16" spans="2:11">
      <c r="B16" s="2" t="s">
        <v>40</v>
      </c>
      <c r="C16" s="2" t="s">
        <v>159</v>
      </c>
      <c r="D16" s="2" t="s">
        <v>65</v>
      </c>
      <c r="E16" s="2">
        <v>10</v>
      </c>
      <c r="F16" s="2">
        <v>12</v>
      </c>
      <c r="G16" s="2">
        <v>1</v>
      </c>
      <c r="H16" s="2">
        <f>INDEX(Table7[energy_required], MATCH(Table8[[#This Row],[Recipe]], Table7[Recipe], 0))</f>
        <v>2</v>
      </c>
      <c r="I16" s="2">
        <f>AVERAGE(Table8[[#This Row],[amount_min]], Table8[[#This Row],[amount_max]]) * Table8[[#This Row],[P]]</f>
        <v>11</v>
      </c>
      <c r="J16" s="2">
        <f>Table8[[#This Row],[EV]] / Table8[[#This Row],[Duration]]</f>
        <v>5.5</v>
      </c>
      <c r="K16" s="2">
        <f>IFERROR(1/Table8[[#This Row],[EV/s]], 0)</f>
        <v>0.18181818181818182</v>
      </c>
    </row>
    <row r="17" spans="2:11">
      <c r="B17" s="2" t="s">
        <v>52</v>
      </c>
      <c r="C17" s="2" t="s">
        <v>159</v>
      </c>
      <c r="D17" s="2" t="s">
        <v>226</v>
      </c>
      <c r="E17" s="2">
        <v>1</v>
      </c>
      <c r="F17" s="2">
        <v>1</v>
      </c>
      <c r="G17" s="2">
        <v>0.2</v>
      </c>
      <c r="H17" s="2">
        <f>INDEX(Table7[energy_required], MATCH(Table8[[#This Row],[Recipe]], Table7[Recipe], 0))</f>
        <v>2</v>
      </c>
      <c r="I17" s="2">
        <f>AVERAGE(Table8[[#This Row],[amount_min]], Table8[[#This Row],[amount_max]]) * Table8[[#This Row],[P]]</f>
        <v>0.2</v>
      </c>
      <c r="J17" s="2">
        <f>Table8[[#This Row],[EV]] / Table8[[#This Row],[Duration]]</f>
        <v>0.1</v>
      </c>
      <c r="K17" s="2">
        <f>IFERROR(1/Table8[[#This Row],[EV/s]], 0)</f>
        <v>10</v>
      </c>
    </row>
    <row r="18" spans="2:11">
      <c r="B18" s="2" t="s">
        <v>52</v>
      </c>
      <c r="C18" s="2" t="s">
        <v>159</v>
      </c>
      <c r="D18" s="2" t="s">
        <v>80</v>
      </c>
      <c r="E18" s="2">
        <v>1</v>
      </c>
      <c r="F18" s="2">
        <v>1</v>
      </c>
      <c r="G18" s="2">
        <v>0.1</v>
      </c>
      <c r="H18" s="2">
        <f>INDEX(Table7[energy_required], MATCH(Table8[[#This Row],[Recipe]], Table7[Recipe], 0))</f>
        <v>2</v>
      </c>
      <c r="I18" s="2">
        <f>AVERAGE(Table8[[#This Row],[amount_min]], Table8[[#This Row],[amount_max]]) * Table8[[#This Row],[P]]</f>
        <v>0.1</v>
      </c>
      <c r="J18" s="2">
        <f>Table8[[#This Row],[EV]] / Table8[[#This Row],[Duration]]</f>
        <v>0.05</v>
      </c>
      <c r="K18" s="2">
        <f>IFERROR(1/Table8[[#This Row],[EV/s]], 0)</f>
        <v>20</v>
      </c>
    </row>
    <row r="19" spans="2:11">
      <c r="B19" s="2" t="s">
        <v>52</v>
      </c>
      <c r="C19" s="2" t="s">
        <v>159</v>
      </c>
      <c r="D19" s="2" t="s">
        <v>81</v>
      </c>
      <c r="E19" s="2">
        <v>5</v>
      </c>
      <c r="F19" s="2">
        <v>10</v>
      </c>
      <c r="G19" s="2">
        <v>1</v>
      </c>
      <c r="H19" s="2">
        <f>INDEX(Table7[energy_required], MATCH(Table8[[#This Row],[Recipe]], Table7[Recipe], 0))</f>
        <v>2</v>
      </c>
      <c r="I19" s="2">
        <f>AVERAGE(Table8[[#This Row],[amount_min]], Table8[[#This Row],[amount_max]]) * Table8[[#This Row],[P]]</f>
        <v>7.5</v>
      </c>
      <c r="J19" s="2">
        <f>Table8[[#This Row],[EV]] / Table8[[#This Row],[Duration]]</f>
        <v>3.75</v>
      </c>
      <c r="K19" s="2">
        <f>IFERROR(1/Table8[[#This Row],[EV/s]], 0)</f>
        <v>0.26666666666666666</v>
      </c>
    </row>
    <row r="20" spans="2:11">
      <c r="B20" s="2" t="s">
        <v>52</v>
      </c>
      <c r="C20" s="2" t="s">
        <v>159</v>
      </c>
      <c r="D20" s="2" t="s">
        <v>66</v>
      </c>
      <c r="E20" s="2">
        <v>5</v>
      </c>
      <c r="F20" s="2">
        <v>5</v>
      </c>
      <c r="G20" s="2">
        <v>1</v>
      </c>
      <c r="H20" s="2">
        <f>INDEX(Table7[energy_required], MATCH(Table8[[#This Row],[Recipe]], Table7[Recipe], 0))</f>
        <v>2</v>
      </c>
      <c r="I20" s="2">
        <f>AVERAGE(Table8[[#This Row],[amount_min]], Table8[[#This Row],[amount_max]]) * Table8[[#This Row],[P]]</f>
        <v>5</v>
      </c>
      <c r="J20" s="2">
        <f>Table8[[#This Row],[EV]] / Table8[[#This Row],[Duration]]</f>
        <v>2.5</v>
      </c>
      <c r="K20" s="2">
        <f>IFERROR(1/Table8[[#This Row],[EV/s]], 0)</f>
        <v>0.4</v>
      </c>
    </row>
    <row r="21" spans="2:11">
      <c r="B21" s="2" t="s">
        <v>52</v>
      </c>
      <c r="C21" s="2" t="s">
        <v>159</v>
      </c>
      <c r="D21" s="2" t="s">
        <v>79</v>
      </c>
      <c r="E21" s="2">
        <v>1</v>
      </c>
      <c r="F21" s="2">
        <v>1</v>
      </c>
      <c r="G21" s="2">
        <v>0.1</v>
      </c>
      <c r="H21" s="2">
        <f>INDEX(Table7[energy_required], MATCH(Table8[[#This Row],[Recipe]], Table7[Recipe], 0))</f>
        <v>2</v>
      </c>
      <c r="I21" s="2">
        <f>AVERAGE(Table8[[#This Row],[amount_min]], Table8[[#This Row],[amount_max]]) * Table8[[#This Row],[P]]</f>
        <v>0.1</v>
      </c>
      <c r="J21" s="2">
        <f>Table8[[#This Row],[EV]] / Table8[[#This Row],[Duration]]</f>
        <v>0.05</v>
      </c>
      <c r="K21" s="2">
        <f>IFERROR(1/Table8[[#This Row],[EV/s]], 0)</f>
        <v>20</v>
      </c>
    </row>
    <row r="22" spans="2:11">
      <c r="B22" s="2" t="s">
        <v>51</v>
      </c>
      <c r="C22" s="2" t="s">
        <v>159</v>
      </c>
      <c r="D22" s="2" t="s">
        <v>227</v>
      </c>
      <c r="E22" s="2">
        <v>1</v>
      </c>
      <c r="F22" s="2">
        <v>1</v>
      </c>
      <c r="G22" s="2">
        <v>0.2</v>
      </c>
      <c r="H22" s="2">
        <f>INDEX(Table7[energy_required], MATCH(Table8[[#This Row],[Recipe]], Table7[Recipe], 0))</f>
        <v>2</v>
      </c>
      <c r="I22" s="2">
        <f>AVERAGE(Table8[[#This Row],[amount_min]], Table8[[#This Row],[amount_max]]) * Table8[[#This Row],[P]]</f>
        <v>0.2</v>
      </c>
      <c r="J22" s="2">
        <f>Table8[[#This Row],[EV]] / Table8[[#This Row],[Duration]]</f>
        <v>0.1</v>
      </c>
      <c r="K22" s="2">
        <f>IFERROR(1/Table8[[#This Row],[EV/s]], 0)</f>
        <v>10</v>
      </c>
    </row>
    <row r="23" spans="2:11">
      <c r="B23" s="2" t="s">
        <v>51</v>
      </c>
      <c r="C23" s="2" t="s">
        <v>159</v>
      </c>
      <c r="D23" s="2" t="s">
        <v>78</v>
      </c>
      <c r="E23" s="2">
        <v>5</v>
      </c>
      <c r="F23" s="2">
        <v>10</v>
      </c>
      <c r="G23" s="2">
        <v>1</v>
      </c>
      <c r="H23" s="2">
        <f>INDEX(Table7[energy_required], MATCH(Table8[[#This Row],[Recipe]], Table7[Recipe], 0))</f>
        <v>2</v>
      </c>
      <c r="I23" s="2">
        <f>AVERAGE(Table8[[#This Row],[amount_min]], Table8[[#This Row],[amount_max]]) * Table8[[#This Row],[P]]</f>
        <v>7.5</v>
      </c>
      <c r="J23" s="2">
        <f>Table8[[#This Row],[EV]] / Table8[[#This Row],[Duration]]</f>
        <v>3.75</v>
      </c>
      <c r="K23" s="2">
        <f>IFERROR(1/Table8[[#This Row],[EV/s]], 0)</f>
        <v>0.26666666666666666</v>
      </c>
    </row>
    <row r="24" spans="2:11">
      <c r="B24" s="2" t="s">
        <v>51</v>
      </c>
      <c r="C24" s="2" t="s">
        <v>159</v>
      </c>
      <c r="D24" s="2" t="s">
        <v>66</v>
      </c>
      <c r="E24" s="2">
        <v>0</v>
      </c>
      <c r="F24" s="2">
        <v>0</v>
      </c>
      <c r="G24" s="2">
        <v>1</v>
      </c>
      <c r="H24" s="2">
        <f>INDEX(Table7[energy_required], MATCH(Table8[[#This Row],[Recipe]], Table7[Recipe], 0))</f>
        <v>2</v>
      </c>
      <c r="I24" s="2">
        <f>AVERAGE(Table8[[#This Row],[amount_min]], Table8[[#This Row],[amount_max]]) * Table8[[#This Row],[P]]</f>
        <v>0</v>
      </c>
      <c r="J24" s="2">
        <f>Table8[[#This Row],[EV]] / Table8[[#This Row],[Duration]]</f>
        <v>0</v>
      </c>
      <c r="K24" s="2">
        <f>IFERROR(1/Table8[[#This Row],[EV/s]], 0)</f>
        <v>0</v>
      </c>
    </row>
    <row r="25" spans="2:11">
      <c r="B25" s="2" t="s">
        <v>340</v>
      </c>
      <c r="C25" s="2" t="s">
        <v>159</v>
      </c>
      <c r="D25" s="2" t="s">
        <v>342</v>
      </c>
      <c r="E25" s="2">
        <v>1</v>
      </c>
      <c r="F25" s="2">
        <v>1</v>
      </c>
      <c r="G25" s="2">
        <v>0.2</v>
      </c>
      <c r="H25" s="2">
        <f>INDEX(Table7[energy_required], MATCH(Table8[[#This Row],[Recipe]], Table7[Recipe], 0))</f>
        <v>2</v>
      </c>
      <c r="I25" s="2">
        <f>AVERAGE(Table8[[#This Row],[amount_min]], Table8[[#This Row],[amount_max]]) * Table8[[#This Row],[P]]</f>
        <v>0.2</v>
      </c>
      <c r="J25" s="2">
        <f>Table8[[#This Row],[EV]] / Table8[[#This Row],[Duration]]</f>
        <v>0.1</v>
      </c>
      <c r="K25" s="2">
        <f>IFERROR(1/Table8[[#This Row],[EV/s]], 0)</f>
        <v>10</v>
      </c>
    </row>
    <row r="26" spans="2:11">
      <c r="B26" s="2" t="s">
        <v>340</v>
      </c>
      <c r="C26" s="2" t="s">
        <v>159</v>
      </c>
      <c r="D26" s="2" t="s">
        <v>341</v>
      </c>
      <c r="E26" s="2">
        <v>2</v>
      </c>
      <c r="F26" s="2">
        <v>5</v>
      </c>
      <c r="G26" s="2">
        <v>1</v>
      </c>
      <c r="H26" s="2">
        <f>INDEX(Table7[energy_required], MATCH(Table8[[#This Row],[Recipe]], Table7[Recipe], 0))</f>
        <v>2</v>
      </c>
      <c r="I26" s="2">
        <f>AVERAGE(Table8[[#This Row],[amount_min]], Table8[[#This Row],[amount_max]]) * Table8[[#This Row],[P]]</f>
        <v>3.5</v>
      </c>
      <c r="J26" s="2">
        <f>Table8[[#This Row],[EV]] / Table8[[#This Row],[Duration]]</f>
        <v>1.75</v>
      </c>
      <c r="K26" s="2">
        <f>IFERROR(1/Table8[[#This Row],[EV/s]], 0)</f>
        <v>0.5714285714285714</v>
      </c>
    </row>
    <row r="27" spans="2:11">
      <c r="B27" s="2" t="s">
        <v>340</v>
      </c>
      <c r="C27" s="2" t="s">
        <v>159</v>
      </c>
      <c r="D27" s="2" t="s">
        <v>66</v>
      </c>
      <c r="E27" s="2">
        <v>5</v>
      </c>
      <c r="F27" s="2">
        <v>5</v>
      </c>
      <c r="G27" s="2">
        <v>1</v>
      </c>
      <c r="H27" s="2">
        <f>INDEX(Table7[energy_required], MATCH(Table8[[#This Row],[Recipe]], Table7[Recipe], 0))</f>
        <v>2</v>
      </c>
      <c r="I27" s="2">
        <f>AVERAGE(Table8[[#This Row],[amount_min]], Table8[[#This Row],[amount_max]]) * Table8[[#This Row],[P]]</f>
        <v>5</v>
      </c>
      <c r="J27" s="2">
        <f>Table8[[#This Row],[EV]] / Table8[[#This Row],[Duration]]</f>
        <v>2.5</v>
      </c>
      <c r="K27" s="2">
        <f>IFERROR(1/Table8[[#This Row],[EV/s]], 0)</f>
        <v>0.4</v>
      </c>
    </row>
    <row r="28" spans="2:11">
      <c r="B28" s="2" t="s">
        <v>105</v>
      </c>
      <c r="C28" s="2" t="s">
        <v>159</v>
      </c>
      <c r="D28" s="2" t="s">
        <v>72</v>
      </c>
      <c r="E28" s="2">
        <v>2</v>
      </c>
      <c r="F28" s="2">
        <v>2</v>
      </c>
      <c r="G28" s="2">
        <v>1</v>
      </c>
      <c r="H28" s="2">
        <f>INDEX(Table7[energy_required], MATCH(Table8[[#This Row],[Recipe]], Table7[Recipe], 0))</f>
        <v>5</v>
      </c>
      <c r="I28" s="2">
        <f>AVERAGE(Table8[[#This Row],[amount_min]], Table8[[#This Row],[amount_max]]) * Table8[[#This Row],[P]]</f>
        <v>2</v>
      </c>
      <c r="J28" s="2">
        <f>Table8[[#This Row],[EV]] / Table8[[#This Row],[Duration]]</f>
        <v>0.4</v>
      </c>
      <c r="K28" s="2">
        <f>IFERROR(1/Table8[[#This Row],[EV/s]], 0)</f>
        <v>2.5</v>
      </c>
    </row>
    <row r="29" spans="2:11">
      <c r="B29" s="2" t="s">
        <v>105</v>
      </c>
      <c r="C29" s="2" t="s">
        <v>159</v>
      </c>
      <c r="D29" s="2" t="s">
        <v>71</v>
      </c>
      <c r="E29" s="2">
        <v>3</v>
      </c>
      <c r="F29" s="2">
        <v>3</v>
      </c>
      <c r="G29" s="2">
        <v>1</v>
      </c>
      <c r="H29" s="2">
        <f>INDEX(Table7[energy_required], MATCH(Table8[[#This Row],[Recipe]], Table7[Recipe], 0))</f>
        <v>5</v>
      </c>
      <c r="I29" s="2">
        <f>AVERAGE(Table8[[#This Row],[amount_min]], Table8[[#This Row],[amount_max]]) * Table8[[#This Row],[P]]</f>
        <v>3</v>
      </c>
      <c r="J29" s="2">
        <f>Table8[[#This Row],[EV]] / Table8[[#This Row],[Duration]]</f>
        <v>0.6</v>
      </c>
      <c r="K29" s="2">
        <f>IFERROR(1/Table8[[#This Row],[EV/s]], 0)</f>
        <v>1.6666666666666667</v>
      </c>
    </row>
    <row r="30" spans="2:11">
      <c r="B30" s="2" t="s">
        <v>105</v>
      </c>
      <c r="C30" s="2" t="s">
        <v>159</v>
      </c>
      <c r="D30" s="2" t="s">
        <v>119</v>
      </c>
      <c r="E30" s="2">
        <v>1</v>
      </c>
      <c r="F30" s="2">
        <v>1</v>
      </c>
      <c r="G30" s="2">
        <v>0.05</v>
      </c>
      <c r="H30" s="2">
        <f>INDEX(Table7[energy_required], MATCH(Table8[[#This Row],[Recipe]], Table7[Recipe], 0))</f>
        <v>5</v>
      </c>
      <c r="I30" s="2">
        <f>AVERAGE(Table8[[#This Row],[amount_min]], Table8[[#This Row],[amount_max]]) * Table8[[#This Row],[P]]</f>
        <v>0.05</v>
      </c>
      <c r="J30" s="2">
        <f>Table8[[#This Row],[EV]] / Table8[[#This Row],[Duration]]</f>
        <v>0.01</v>
      </c>
      <c r="K30" s="2">
        <f>IFERROR(1/Table8[[#This Row],[EV/s]], 0)</f>
        <v>100</v>
      </c>
    </row>
    <row r="31" spans="2:11">
      <c r="B31" s="2" t="s">
        <v>103</v>
      </c>
      <c r="C31" s="2" t="s">
        <v>159</v>
      </c>
      <c r="D31" s="2" t="s">
        <v>68</v>
      </c>
      <c r="E31" s="2">
        <v>4</v>
      </c>
      <c r="F31" s="2">
        <v>4</v>
      </c>
      <c r="G31" s="2">
        <v>1</v>
      </c>
      <c r="H31" s="2">
        <f>INDEX(Table7[energy_required], MATCH(Table8[[#This Row],[Recipe]], Table7[Recipe], 0))</f>
        <v>5</v>
      </c>
      <c r="I31" s="2">
        <f>AVERAGE(Table8[[#This Row],[amount_min]], Table8[[#This Row],[amount_max]]) * Table8[[#This Row],[P]]</f>
        <v>4</v>
      </c>
      <c r="J31" s="2">
        <f>Table8[[#This Row],[EV]] / Table8[[#This Row],[Duration]]</f>
        <v>0.8</v>
      </c>
      <c r="K31" s="2">
        <f>IFERROR(1/Table8[[#This Row],[EV/s]], 0)</f>
        <v>1.25</v>
      </c>
    </row>
    <row r="32" spans="2:11">
      <c r="B32" s="2" t="s">
        <v>103</v>
      </c>
      <c r="C32" s="2" t="s">
        <v>159</v>
      </c>
      <c r="D32" s="2" t="s">
        <v>67</v>
      </c>
      <c r="E32" s="2">
        <v>10</v>
      </c>
      <c r="F32" s="2">
        <v>10</v>
      </c>
      <c r="G32" s="2">
        <v>1</v>
      </c>
      <c r="H32" s="2">
        <f>INDEX(Table7[energy_required], MATCH(Table8[[#This Row],[Recipe]], Table7[Recipe], 0))</f>
        <v>5</v>
      </c>
      <c r="I32" s="2">
        <f>AVERAGE(Table8[[#This Row],[amount_min]], Table8[[#This Row],[amount_max]]) * Table8[[#This Row],[P]]</f>
        <v>10</v>
      </c>
      <c r="J32" s="2">
        <f>Table8[[#This Row],[EV]] / Table8[[#This Row],[Duration]]</f>
        <v>2</v>
      </c>
      <c r="K32" s="2">
        <f>IFERROR(1/Table8[[#This Row],[EV/s]], 0)</f>
        <v>0.5</v>
      </c>
    </row>
    <row r="33" spans="2:11">
      <c r="B33" s="2" t="s">
        <v>103</v>
      </c>
      <c r="C33" s="2" t="s">
        <v>159</v>
      </c>
      <c r="D33" s="2" t="s">
        <v>120</v>
      </c>
      <c r="E33" s="2">
        <v>1</v>
      </c>
      <c r="F33" s="2">
        <v>1</v>
      </c>
      <c r="G33" s="2">
        <v>0.05</v>
      </c>
      <c r="H33" s="2">
        <f>INDEX(Table7[energy_required], MATCH(Table8[[#This Row],[Recipe]], Table7[Recipe], 0))</f>
        <v>5</v>
      </c>
      <c r="I33" s="2">
        <f>AVERAGE(Table8[[#This Row],[amount_min]], Table8[[#This Row],[amount_max]]) * Table8[[#This Row],[P]]</f>
        <v>0.05</v>
      </c>
      <c r="J33" s="2">
        <f>Table8[[#This Row],[EV]] / Table8[[#This Row],[Duration]]</f>
        <v>0.01</v>
      </c>
      <c r="K33" s="2">
        <f>IFERROR(1/Table8[[#This Row],[EV/s]], 0)</f>
        <v>100</v>
      </c>
    </row>
    <row r="34" spans="2:11">
      <c r="B34" s="2" t="s">
        <v>104</v>
      </c>
      <c r="C34" s="2" t="s">
        <v>159</v>
      </c>
      <c r="D34" s="2" t="s">
        <v>69</v>
      </c>
      <c r="E34" s="2">
        <v>5</v>
      </c>
      <c r="F34" s="2">
        <v>5</v>
      </c>
      <c r="G34" s="2">
        <v>1</v>
      </c>
      <c r="H34" s="2">
        <f>INDEX(Table7[energy_required], MATCH(Table8[[#This Row],[Recipe]], Table7[Recipe], 0))</f>
        <v>5</v>
      </c>
      <c r="I34" s="2">
        <f>AVERAGE(Table8[[#This Row],[amount_min]], Table8[[#This Row],[amount_max]]) * Table8[[#This Row],[P]]</f>
        <v>5</v>
      </c>
      <c r="J34" s="2">
        <f>Table8[[#This Row],[EV]] / Table8[[#This Row],[Duration]]</f>
        <v>1</v>
      </c>
      <c r="K34" s="2">
        <f>IFERROR(1/Table8[[#This Row],[EV/s]], 0)</f>
        <v>1</v>
      </c>
    </row>
    <row r="35" spans="2:11">
      <c r="B35" s="2" t="s">
        <v>104</v>
      </c>
      <c r="C35" s="2" t="s">
        <v>159</v>
      </c>
      <c r="D35" s="2" t="s">
        <v>118</v>
      </c>
      <c r="E35" s="2">
        <v>1</v>
      </c>
      <c r="F35" s="2">
        <v>1</v>
      </c>
      <c r="G35" s="2">
        <v>0.05</v>
      </c>
      <c r="H35" s="2">
        <f>INDEX(Table7[energy_required], MATCH(Table8[[#This Row],[Recipe]], Table7[Recipe], 0))</f>
        <v>5</v>
      </c>
      <c r="I35" s="2">
        <f>AVERAGE(Table8[[#This Row],[amount_min]], Table8[[#This Row],[amount_max]]) * Table8[[#This Row],[P]]</f>
        <v>0.05</v>
      </c>
      <c r="J35" s="2">
        <f>Table8[[#This Row],[EV]] / Table8[[#This Row],[Duration]]</f>
        <v>0.01</v>
      </c>
      <c r="K35" s="2">
        <f>IFERROR(1/Table8[[#This Row],[EV/s]], 0)</f>
        <v>100</v>
      </c>
    </row>
    <row r="36" spans="2:11">
      <c r="B36" s="2" t="s">
        <v>104</v>
      </c>
      <c r="C36" s="2" t="s">
        <v>159</v>
      </c>
      <c r="D36" s="2" t="s">
        <v>70</v>
      </c>
      <c r="E36" s="2">
        <v>2</v>
      </c>
      <c r="F36" s="2">
        <v>2</v>
      </c>
      <c r="G36" s="2">
        <v>1</v>
      </c>
      <c r="H36" s="2">
        <f>INDEX(Table7[energy_required], MATCH(Table8[[#This Row],[Recipe]], Table7[Recipe], 0))</f>
        <v>5</v>
      </c>
      <c r="I36" s="2">
        <f>AVERAGE(Table8[[#This Row],[amount_min]], Table8[[#This Row],[amount_max]]) * Table8[[#This Row],[P]]</f>
        <v>2</v>
      </c>
      <c r="J36" s="2">
        <f>Table8[[#This Row],[EV]] / Table8[[#This Row],[Duration]]</f>
        <v>0.4</v>
      </c>
      <c r="K36" s="2">
        <f>IFERROR(1/Table8[[#This Row],[EV/s]], 0)</f>
        <v>2.5</v>
      </c>
    </row>
    <row r="37" spans="2:11">
      <c r="B37" s="2" t="s">
        <v>160</v>
      </c>
      <c r="C37" s="2" t="s">
        <v>159</v>
      </c>
      <c r="D37" s="2" t="s">
        <v>224</v>
      </c>
      <c r="E37" s="2">
        <v>1</v>
      </c>
      <c r="F37" s="2">
        <v>1</v>
      </c>
      <c r="G37" s="2">
        <v>0.05</v>
      </c>
      <c r="H37" s="2">
        <f>INDEX(Table7[energy_required], MATCH(Table8[[#This Row],[Recipe]], Table7[Recipe], 0))</f>
        <v>5</v>
      </c>
      <c r="I37" s="2">
        <f>AVERAGE(Table8[[#This Row],[amount_min]], Table8[[#This Row],[amount_max]]) * Table8[[#This Row],[P]]</f>
        <v>0.05</v>
      </c>
      <c r="J37" s="2">
        <f>Table8[[#This Row],[EV]] / Table8[[#This Row],[Duration]]</f>
        <v>0.01</v>
      </c>
      <c r="K37" s="2">
        <f>IFERROR(1/Table8[[#This Row],[EV/s]], 0)</f>
        <v>100</v>
      </c>
    </row>
    <row r="38" spans="2:11">
      <c r="B38" s="2" t="s">
        <v>160</v>
      </c>
      <c r="C38" s="2" t="s">
        <v>159</v>
      </c>
      <c r="D38" s="2" t="s">
        <v>66</v>
      </c>
      <c r="E38" s="2">
        <v>0</v>
      </c>
      <c r="F38" s="2">
        <v>0</v>
      </c>
      <c r="G38" s="2">
        <v>1</v>
      </c>
      <c r="H38" s="2">
        <f>INDEX(Table7[energy_required], MATCH(Table8[[#This Row],[Recipe]], Table7[Recipe], 0))</f>
        <v>5</v>
      </c>
      <c r="I38" s="2">
        <f>AVERAGE(Table8[[#This Row],[amount_min]], Table8[[#This Row],[amount_max]]) * Table8[[#This Row],[P]]</f>
        <v>0</v>
      </c>
      <c r="J38" s="2">
        <f>Table8[[#This Row],[EV]] / Table8[[#This Row],[Duration]]</f>
        <v>0</v>
      </c>
      <c r="K38" s="2">
        <f>IFERROR(1/Table8[[#This Row],[EV/s]], 0)</f>
        <v>0</v>
      </c>
    </row>
    <row r="39" spans="2:11">
      <c r="B39" s="2" t="s">
        <v>160</v>
      </c>
      <c r="C39" s="2" t="s">
        <v>159</v>
      </c>
      <c r="D39" s="2" t="s">
        <v>76</v>
      </c>
      <c r="E39" s="2">
        <v>10</v>
      </c>
      <c r="F39" s="2">
        <v>14</v>
      </c>
      <c r="G39" s="2">
        <v>1</v>
      </c>
      <c r="H39" s="2">
        <f>INDEX(Table7[energy_required], MATCH(Table8[[#This Row],[Recipe]], Table7[Recipe], 0))</f>
        <v>5</v>
      </c>
      <c r="I39" s="2">
        <f>AVERAGE(Table8[[#This Row],[amount_min]], Table8[[#This Row],[amount_max]]) * Table8[[#This Row],[P]]</f>
        <v>12</v>
      </c>
      <c r="J39" s="2">
        <f>Table8[[#This Row],[EV]] / Table8[[#This Row],[Duration]]</f>
        <v>2.4</v>
      </c>
      <c r="K39" s="2">
        <f>IFERROR(1/Table8[[#This Row],[EV/s]], 0)</f>
        <v>0.41666666666666669</v>
      </c>
    </row>
    <row r="40" spans="2:11">
      <c r="B40" s="2" t="s">
        <v>46</v>
      </c>
      <c r="C40" s="2" t="s">
        <v>159</v>
      </c>
      <c r="D40" s="2" t="s">
        <v>225</v>
      </c>
      <c r="E40" s="2">
        <v>1</v>
      </c>
      <c r="F40" s="2">
        <v>1</v>
      </c>
      <c r="G40" s="2">
        <v>0.05</v>
      </c>
      <c r="H40" s="2">
        <f>INDEX(Table7[energy_required], MATCH(Table8[[#This Row],[Recipe]], Table7[Recipe], 0))</f>
        <v>5</v>
      </c>
      <c r="I40" s="2">
        <f>AVERAGE(Table8[[#This Row],[amount_min]], Table8[[#This Row],[amount_max]]) * Table8[[#This Row],[P]]</f>
        <v>0.05</v>
      </c>
      <c r="J40" s="2">
        <f>Table8[[#This Row],[EV]] / Table8[[#This Row],[Duration]]</f>
        <v>0.01</v>
      </c>
      <c r="K40" s="2">
        <f>IFERROR(1/Table8[[#This Row],[EV/s]], 0)</f>
        <v>100</v>
      </c>
    </row>
    <row r="41" spans="2:11">
      <c r="B41" s="2" t="s">
        <v>46</v>
      </c>
      <c r="C41" s="2" t="s">
        <v>159</v>
      </c>
      <c r="D41" s="2" t="s">
        <v>66</v>
      </c>
      <c r="E41" s="2">
        <v>0</v>
      </c>
      <c r="F41" s="2">
        <v>0</v>
      </c>
      <c r="G41" s="2">
        <v>1</v>
      </c>
      <c r="H41" s="2">
        <f>INDEX(Table7[energy_required], MATCH(Table8[[#This Row],[Recipe]], Table7[Recipe], 0))</f>
        <v>5</v>
      </c>
      <c r="I41" s="2">
        <f>AVERAGE(Table8[[#This Row],[amount_min]], Table8[[#This Row],[amount_max]]) * Table8[[#This Row],[P]]</f>
        <v>0</v>
      </c>
      <c r="J41" s="2">
        <f>Table8[[#This Row],[EV]] / Table8[[#This Row],[Duration]]</f>
        <v>0</v>
      </c>
      <c r="K41" s="2">
        <f>IFERROR(1/Table8[[#This Row],[EV/s]], 0)</f>
        <v>0</v>
      </c>
    </row>
    <row r="42" spans="2:11">
      <c r="B42" s="2" t="s">
        <v>46</v>
      </c>
      <c r="C42" s="2" t="s">
        <v>159</v>
      </c>
      <c r="D42" s="2" t="s">
        <v>75</v>
      </c>
      <c r="E42" s="2">
        <v>1</v>
      </c>
      <c r="F42" s="2">
        <v>1</v>
      </c>
      <c r="G42" s="2">
        <v>0.3</v>
      </c>
      <c r="H42" s="2">
        <f>INDEX(Table7[energy_required], MATCH(Table8[[#This Row],[Recipe]], Table7[Recipe], 0))</f>
        <v>5</v>
      </c>
      <c r="I42" s="2">
        <f>AVERAGE(Table8[[#This Row],[amount_min]], Table8[[#This Row],[amount_max]]) * Table8[[#This Row],[P]]</f>
        <v>0.3</v>
      </c>
      <c r="J42" s="2">
        <f>Table8[[#This Row],[EV]] / Table8[[#This Row],[Duration]]</f>
        <v>0.06</v>
      </c>
      <c r="K42" s="2">
        <f>IFERROR(1/Table8[[#This Row],[EV/s]], 0)</f>
        <v>16.666666666666668</v>
      </c>
    </row>
    <row r="43" spans="2:11">
      <c r="B43" s="2" t="s">
        <v>46</v>
      </c>
      <c r="C43" s="2" t="s">
        <v>159</v>
      </c>
      <c r="D43" s="2" t="s">
        <v>74</v>
      </c>
      <c r="E43" s="2">
        <v>3</v>
      </c>
      <c r="F43" s="2">
        <v>5</v>
      </c>
      <c r="G43" s="2">
        <v>1</v>
      </c>
      <c r="H43" s="2">
        <f>INDEX(Table7[energy_required], MATCH(Table8[[#This Row],[Recipe]], Table7[Recipe], 0))</f>
        <v>5</v>
      </c>
      <c r="I43" s="2">
        <f>AVERAGE(Table8[[#This Row],[amount_min]], Table8[[#This Row],[amount_max]]) * Table8[[#This Row],[P]]</f>
        <v>4</v>
      </c>
      <c r="J43" s="2">
        <f>Table8[[#This Row],[EV]] / Table8[[#This Row],[Duration]]</f>
        <v>0.8</v>
      </c>
      <c r="K43" s="2">
        <f>IFERROR(1/Table8[[#This Row],[EV/s]], 0)</f>
        <v>1.25</v>
      </c>
    </row>
    <row r="44" spans="2:11">
      <c r="B44" s="2" t="s">
        <v>161</v>
      </c>
      <c r="C44" s="2" t="s">
        <v>159</v>
      </c>
      <c r="D44" s="2" t="s">
        <v>226</v>
      </c>
      <c r="E44" s="2">
        <v>1</v>
      </c>
      <c r="F44" s="2">
        <v>1</v>
      </c>
      <c r="G44" s="2">
        <v>0.05</v>
      </c>
      <c r="H44" s="2">
        <f>INDEX(Table7[energy_required], MATCH(Table8[[#This Row],[Recipe]], Table7[Recipe], 0))</f>
        <v>5</v>
      </c>
      <c r="I44" s="2">
        <f>AVERAGE(Table8[[#This Row],[amount_min]], Table8[[#This Row],[amount_max]]) * Table8[[#This Row],[P]]</f>
        <v>0.05</v>
      </c>
      <c r="J44" s="2">
        <f>Table8[[#This Row],[EV]] / Table8[[#This Row],[Duration]]</f>
        <v>0.01</v>
      </c>
      <c r="K44" s="2">
        <f>IFERROR(1/Table8[[#This Row],[EV/s]], 0)</f>
        <v>100</v>
      </c>
    </row>
    <row r="45" spans="2:11">
      <c r="B45" s="2" t="s">
        <v>161</v>
      </c>
      <c r="C45" s="2" t="s">
        <v>159</v>
      </c>
      <c r="D45" s="2" t="s">
        <v>80</v>
      </c>
      <c r="E45" s="2">
        <v>1</v>
      </c>
      <c r="F45" s="2">
        <v>2</v>
      </c>
      <c r="G45" s="2">
        <v>0.3</v>
      </c>
      <c r="H45" s="2">
        <f>INDEX(Table7[energy_required], MATCH(Table8[[#This Row],[Recipe]], Table7[Recipe], 0))</f>
        <v>5</v>
      </c>
      <c r="I45" s="2">
        <f>AVERAGE(Table8[[#This Row],[amount_min]], Table8[[#This Row],[amount_max]]) * Table8[[#This Row],[P]]</f>
        <v>0.44999999999999996</v>
      </c>
      <c r="J45" s="2">
        <f>Table8[[#This Row],[EV]] / Table8[[#This Row],[Duration]]</f>
        <v>0.09</v>
      </c>
      <c r="K45" s="2">
        <f>IFERROR(1/Table8[[#This Row],[EV/s]], 0)</f>
        <v>11.111111111111111</v>
      </c>
    </row>
    <row r="46" spans="2:11">
      <c r="B46" s="2" t="s">
        <v>161</v>
      </c>
      <c r="C46" s="2" t="s">
        <v>159</v>
      </c>
      <c r="D46" s="2" t="s">
        <v>81</v>
      </c>
      <c r="E46" s="2">
        <v>10</v>
      </c>
      <c r="F46" s="2">
        <v>20</v>
      </c>
      <c r="G46" s="2">
        <v>1</v>
      </c>
      <c r="H46" s="2">
        <f>INDEX(Table7[energy_required], MATCH(Table8[[#This Row],[Recipe]], Table7[Recipe], 0))</f>
        <v>5</v>
      </c>
      <c r="I46" s="2">
        <f>AVERAGE(Table8[[#This Row],[amount_min]], Table8[[#This Row],[amount_max]]) * Table8[[#This Row],[P]]</f>
        <v>15</v>
      </c>
      <c r="J46" s="2">
        <f>Table8[[#This Row],[EV]] / Table8[[#This Row],[Duration]]</f>
        <v>3</v>
      </c>
      <c r="K46" s="2">
        <f>IFERROR(1/Table8[[#This Row],[EV/s]], 0)</f>
        <v>0.33333333333333331</v>
      </c>
    </row>
    <row r="47" spans="2:11">
      <c r="B47" s="2" t="s">
        <v>161</v>
      </c>
      <c r="C47" s="2" t="s">
        <v>159</v>
      </c>
      <c r="D47" s="2" t="s">
        <v>79</v>
      </c>
      <c r="E47" s="2">
        <v>1</v>
      </c>
      <c r="F47" s="2">
        <v>2</v>
      </c>
      <c r="G47" s="2">
        <v>0.3</v>
      </c>
      <c r="H47" s="2">
        <f>INDEX(Table7[energy_required], MATCH(Table8[[#This Row],[Recipe]], Table7[Recipe], 0))</f>
        <v>5</v>
      </c>
      <c r="I47" s="2">
        <f>AVERAGE(Table8[[#This Row],[amount_min]], Table8[[#This Row],[amount_max]]) * Table8[[#This Row],[P]]</f>
        <v>0.44999999999999996</v>
      </c>
      <c r="J47" s="2">
        <f>Table8[[#This Row],[EV]] / Table8[[#This Row],[Duration]]</f>
        <v>0.09</v>
      </c>
      <c r="K47" s="2">
        <f>IFERROR(1/Table8[[#This Row],[EV/s]], 0)</f>
        <v>11.111111111111111</v>
      </c>
    </row>
    <row r="48" spans="2:11">
      <c r="B48" s="2" t="s">
        <v>162</v>
      </c>
      <c r="C48" s="2" t="s">
        <v>159</v>
      </c>
      <c r="D48" s="2" t="s">
        <v>227</v>
      </c>
      <c r="E48" s="2">
        <v>1</v>
      </c>
      <c r="F48" s="2">
        <v>1</v>
      </c>
      <c r="G48" s="2">
        <v>0.05</v>
      </c>
      <c r="H48" s="2">
        <f>INDEX(Table7[energy_required], MATCH(Table8[[#This Row],[Recipe]], Table7[Recipe], 0))</f>
        <v>5</v>
      </c>
      <c r="I48" s="2">
        <f>AVERAGE(Table8[[#This Row],[amount_min]], Table8[[#This Row],[amount_max]]) * Table8[[#This Row],[P]]</f>
        <v>0.05</v>
      </c>
      <c r="J48" s="2">
        <f>Table8[[#This Row],[EV]] / Table8[[#This Row],[Duration]]</f>
        <v>0.01</v>
      </c>
      <c r="K48" s="2">
        <f>IFERROR(1/Table8[[#This Row],[EV/s]], 0)</f>
        <v>100</v>
      </c>
    </row>
    <row r="49" spans="2:11">
      <c r="B49" s="2" t="s">
        <v>162</v>
      </c>
      <c r="C49" s="2" t="s">
        <v>159</v>
      </c>
      <c r="D49" s="2" t="s">
        <v>167</v>
      </c>
      <c r="E49" s="2">
        <v>1</v>
      </c>
      <c r="F49" s="2">
        <v>2</v>
      </c>
      <c r="G49" s="2">
        <v>0.4</v>
      </c>
      <c r="H49" s="2">
        <f>INDEX(Table7[energy_required], MATCH(Table8[[#This Row],[Recipe]], Table7[Recipe], 0))</f>
        <v>5</v>
      </c>
      <c r="I49" s="2">
        <f>AVERAGE(Table8[[#This Row],[amount_min]], Table8[[#This Row],[amount_max]]) * Table8[[#This Row],[P]]</f>
        <v>0.60000000000000009</v>
      </c>
      <c r="J49" s="2">
        <f>Table8[[#This Row],[EV]] / Table8[[#This Row],[Duration]]</f>
        <v>0.12000000000000002</v>
      </c>
      <c r="K49" s="2">
        <f>IFERROR(1/Table8[[#This Row],[EV/s]], 0)</f>
        <v>8.3333333333333321</v>
      </c>
    </row>
    <row r="50" spans="2:11">
      <c r="B50" s="2" t="s">
        <v>162</v>
      </c>
      <c r="C50" s="2" t="s">
        <v>159</v>
      </c>
      <c r="D50" s="2" t="s">
        <v>78</v>
      </c>
      <c r="E50" s="2">
        <v>10</v>
      </c>
      <c r="F50" s="2">
        <v>15</v>
      </c>
      <c r="G50" s="2">
        <v>1</v>
      </c>
      <c r="H50" s="2">
        <f>INDEX(Table7[energy_required], MATCH(Table8[[#This Row],[Recipe]], Table7[Recipe], 0))</f>
        <v>5</v>
      </c>
      <c r="I50" s="2">
        <f>AVERAGE(Table8[[#This Row],[amount_min]], Table8[[#This Row],[amount_max]]) * Table8[[#This Row],[P]]</f>
        <v>12.5</v>
      </c>
      <c r="J50" s="2">
        <f>Table8[[#This Row],[EV]] / Table8[[#This Row],[Duration]]</f>
        <v>2.5</v>
      </c>
      <c r="K50" s="2">
        <f>IFERROR(1/Table8[[#This Row],[EV/s]], 0)</f>
        <v>0.4</v>
      </c>
    </row>
    <row r="51" spans="2:11">
      <c r="B51" s="2" t="s">
        <v>162</v>
      </c>
      <c r="C51" s="2" t="s">
        <v>159</v>
      </c>
      <c r="D51" s="2" t="s">
        <v>66</v>
      </c>
      <c r="E51" s="2">
        <v>0</v>
      </c>
      <c r="F51" s="2">
        <v>0</v>
      </c>
      <c r="G51" s="2">
        <v>1</v>
      </c>
      <c r="H51" s="2">
        <f>INDEX(Table7[energy_required], MATCH(Table8[[#This Row],[Recipe]], Table7[Recipe], 0))</f>
        <v>5</v>
      </c>
      <c r="I51" s="2">
        <f>AVERAGE(Table8[[#This Row],[amount_min]], Table8[[#This Row],[amount_max]]) * Table8[[#This Row],[P]]</f>
        <v>0</v>
      </c>
      <c r="J51" s="2">
        <f>Table8[[#This Row],[EV]] / Table8[[#This Row],[Duration]]</f>
        <v>0</v>
      </c>
      <c r="K51" s="2">
        <f>IFERROR(1/Table8[[#This Row],[EV/s]], 0)</f>
        <v>0</v>
      </c>
    </row>
    <row r="52" spans="2:11">
      <c r="B52" s="2" t="s">
        <v>233</v>
      </c>
      <c r="C52" s="2" t="s">
        <v>159</v>
      </c>
      <c r="D52" s="2" t="s">
        <v>223</v>
      </c>
      <c r="E52" s="2">
        <v>1</v>
      </c>
      <c r="F52" s="2">
        <v>1</v>
      </c>
      <c r="G52" s="2">
        <v>0.05</v>
      </c>
      <c r="H52" s="2">
        <f>INDEX(Table7[energy_required], MATCH(Table8[[#This Row],[Recipe]], Table7[Recipe], 0))</f>
        <v>5</v>
      </c>
      <c r="I52" s="2">
        <f>AVERAGE(Table8[[#This Row],[amount_min]], Table8[[#This Row],[amount_max]]) * Table8[[#This Row],[P]]</f>
        <v>0.05</v>
      </c>
      <c r="J52" s="2">
        <f>Table8[[#This Row],[EV]] / Table8[[#This Row],[Duration]]</f>
        <v>0.01</v>
      </c>
      <c r="K52" s="2">
        <f>IFERROR(1/Table8[[#This Row],[EV/s]], 0)</f>
        <v>100</v>
      </c>
    </row>
    <row r="53" spans="2:11">
      <c r="B53" s="2" t="s">
        <v>233</v>
      </c>
      <c r="C53" s="2" t="s">
        <v>159</v>
      </c>
      <c r="D53" s="2" t="s">
        <v>232</v>
      </c>
      <c r="E53" s="2">
        <v>5</v>
      </c>
      <c r="F53" s="2">
        <v>8</v>
      </c>
      <c r="G53" s="2">
        <v>1</v>
      </c>
      <c r="H53" s="2">
        <f>INDEX(Table7[energy_required], MATCH(Table8[[#This Row],[Recipe]], Table7[Recipe], 0))</f>
        <v>5</v>
      </c>
      <c r="I53" s="2">
        <f>AVERAGE(Table8[[#This Row],[amount_min]], Table8[[#This Row],[amount_max]]) * Table8[[#This Row],[P]]</f>
        <v>6.5</v>
      </c>
      <c r="J53" s="2">
        <f>Table8[[#This Row],[EV]] / Table8[[#This Row],[Duration]]</f>
        <v>1.3</v>
      </c>
      <c r="K53" s="2">
        <f>IFERROR(1/Table8[[#This Row],[EV/s]], 0)</f>
        <v>0.76923076923076916</v>
      </c>
    </row>
    <row r="54" spans="2:11">
      <c r="B54" s="2" t="s">
        <v>233</v>
      </c>
      <c r="C54" s="2" t="s">
        <v>159</v>
      </c>
      <c r="D54" s="2" t="s">
        <v>73</v>
      </c>
      <c r="E54" s="2">
        <v>5</v>
      </c>
      <c r="F54" s="2">
        <v>8</v>
      </c>
      <c r="G54" s="2">
        <v>1</v>
      </c>
      <c r="H54" s="2">
        <f>INDEX(Table7[energy_required], MATCH(Table8[[#This Row],[Recipe]], Table7[Recipe], 0))</f>
        <v>5</v>
      </c>
      <c r="I54" s="2">
        <f>AVERAGE(Table8[[#This Row],[amount_min]], Table8[[#This Row],[amount_max]]) * Table8[[#This Row],[P]]</f>
        <v>6.5</v>
      </c>
      <c r="J54" s="2">
        <f>Table8[[#This Row],[EV]] / Table8[[#This Row],[Duration]]</f>
        <v>1.3</v>
      </c>
      <c r="K54" s="2">
        <f>IFERROR(1/Table8[[#This Row],[EV/s]], 0)</f>
        <v>0.76923076923076916</v>
      </c>
    </row>
    <row r="55" spans="2:11">
      <c r="B55" s="2" t="s">
        <v>166</v>
      </c>
      <c r="C55" s="2" t="s">
        <v>158</v>
      </c>
      <c r="D55" s="2" t="s">
        <v>77</v>
      </c>
      <c r="E55" s="2">
        <v>2000</v>
      </c>
      <c r="F55" s="2">
        <v>2000</v>
      </c>
      <c r="G55" s="2">
        <v>1</v>
      </c>
      <c r="H55" s="2">
        <f>INDEX(Table7[energy_required], MATCH(Table8[[#This Row],[Recipe]], Table7[Recipe], 0))</f>
        <v>5</v>
      </c>
      <c r="I55" s="2">
        <f>AVERAGE(Table8[[#This Row],[amount_min]], Table8[[#This Row],[amount_max]]) * Table8[[#This Row],[P]]</f>
        <v>2000</v>
      </c>
      <c r="J55" s="2">
        <f>Table8[[#This Row],[EV]] / Table8[[#This Row],[Duration]]</f>
        <v>400</v>
      </c>
      <c r="K55" s="2">
        <f>IFERROR(1/Table8[[#This Row],[EV/s]], 0)</f>
        <v>2.5000000000000001E-3</v>
      </c>
    </row>
    <row r="56" spans="2:11">
      <c r="B56" s="2" t="s">
        <v>166</v>
      </c>
      <c r="C56" s="2" t="s">
        <v>159</v>
      </c>
      <c r="D56" s="2" t="s">
        <v>76</v>
      </c>
      <c r="E56" s="2">
        <v>12</v>
      </c>
      <c r="F56" s="2">
        <v>12</v>
      </c>
      <c r="G56" s="2">
        <v>1</v>
      </c>
      <c r="H56" s="2">
        <f>INDEX(Table7[energy_required], MATCH(Table8[[#This Row],[Recipe]], Table7[Recipe], 0))</f>
        <v>5</v>
      </c>
      <c r="I56" s="2">
        <f>AVERAGE(Table8[[#This Row],[amount_min]], Table8[[#This Row],[amount_max]]) * Table8[[#This Row],[P]]</f>
        <v>12</v>
      </c>
      <c r="J56" s="2">
        <f>Table8[[#This Row],[EV]] / Table8[[#This Row],[Duration]]</f>
        <v>2.4</v>
      </c>
      <c r="K56" s="2">
        <f>IFERROR(1/Table8[[#This Row],[EV/s]], 0)</f>
        <v>0.41666666666666669</v>
      </c>
    </row>
    <row r="57" spans="2:11">
      <c r="B57" s="2" t="s">
        <v>164</v>
      </c>
      <c r="C57" s="2" t="s">
        <v>158</v>
      </c>
      <c r="D57" s="2" t="s">
        <v>168</v>
      </c>
      <c r="E57" s="2">
        <v>20</v>
      </c>
      <c r="F57" s="2">
        <v>20</v>
      </c>
      <c r="G57" s="2">
        <v>1</v>
      </c>
      <c r="H57" s="2">
        <f>INDEX(Table7[energy_required], MATCH(Table8[[#This Row],[Recipe]], Table7[Recipe], 0))</f>
        <v>10</v>
      </c>
      <c r="I57" s="2">
        <f>AVERAGE(Table8[[#This Row],[amount_min]], Table8[[#This Row],[amount_max]]) * Table8[[#This Row],[P]]</f>
        <v>20</v>
      </c>
      <c r="J57" s="2">
        <f>Table8[[#This Row],[EV]] / Table8[[#This Row],[Duration]]</f>
        <v>2</v>
      </c>
      <c r="K57" s="2">
        <f>IFERROR(1/Table8[[#This Row],[EV/s]], 0)</f>
        <v>0.5</v>
      </c>
    </row>
    <row r="58" spans="2:11">
      <c r="B58" s="2" t="s">
        <v>164</v>
      </c>
      <c r="C58" s="2" t="s">
        <v>158</v>
      </c>
      <c r="D58" s="2" t="s">
        <v>169</v>
      </c>
      <c r="E58" s="2">
        <v>20</v>
      </c>
      <c r="F58" s="2">
        <v>20</v>
      </c>
      <c r="G58" s="2">
        <v>1</v>
      </c>
      <c r="H58" s="2">
        <f>INDEX(Table7[energy_required], MATCH(Table8[[#This Row],[Recipe]], Table7[Recipe], 0))</f>
        <v>10</v>
      </c>
      <c r="I58" s="2">
        <f>AVERAGE(Table8[[#This Row],[amount_min]], Table8[[#This Row],[amount_max]]) * Table8[[#This Row],[P]]</f>
        <v>20</v>
      </c>
      <c r="J58" s="2">
        <f>Table8[[#This Row],[EV]] / Table8[[#This Row],[Duration]]</f>
        <v>2</v>
      </c>
      <c r="K58" s="2">
        <f>IFERROR(1/Table8[[#This Row],[EV/s]], 0)</f>
        <v>0.5</v>
      </c>
    </row>
    <row r="59" spans="2:11">
      <c r="B59" s="2" t="s">
        <v>164</v>
      </c>
      <c r="C59" s="2" t="s">
        <v>159</v>
      </c>
      <c r="D59" s="2" t="s">
        <v>66</v>
      </c>
      <c r="E59" s="2">
        <v>5</v>
      </c>
      <c r="F59" s="2">
        <v>5</v>
      </c>
      <c r="G59" s="2">
        <v>1</v>
      </c>
      <c r="H59" s="2">
        <f>INDEX(Table7[energy_required], MATCH(Table8[[#This Row],[Recipe]], Table7[Recipe], 0))</f>
        <v>10</v>
      </c>
      <c r="I59" s="2">
        <f>AVERAGE(Table8[[#This Row],[amount_min]], Table8[[#This Row],[amount_max]]) * Table8[[#This Row],[P]]</f>
        <v>5</v>
      </c>
      <c r="J59" s="2">
        <f>Table8[[#This Row],[EV]] / Table8[[#This Row],[Duration]]</f>
        <v>0.5</v>
      </c>
      <c r="K59" s="2">
        <f>IFERROR(1/Table8[[#This Row],[EV/s]], 0)</f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25B2-AF7A-46FB-8AFE-F35DE2D819DA}">
  <dimension ref="B3:V8"/>
  <sheetViews>
    <sheetView workbookViewId="0"/>
    <sheetView workbookViewId="1">
      <selection activeCell="J11" sqref="J11"/>
    </sheetView>
  </sheetViews>
  <sheetFormatPr defaultColWidth="3" defaultRowHeight="14.25"/>
  <cols>
    <col min="2" max="2" width="23.75" bestFit="1" customWidth="1"/>
    <col min="3" max="3" width="11.625" bestFit="1" customWidth="1"/>
    <col min="4" max="5" width="8.875" bestFit="1" customWidth="1"/>
    <col min="6" max="6" width="5.75" bestFit="1" customWidth="1"/>
    <col min="7" max="7" width="5.875" bestFit="1" customWidth="1"/>
    <col min="8" max="8" width="11.375" bestFit="1" customWidth="1"/>
    <col min="9" max="9" width="9.875" bestFit="1" customWidth="1"/>
    <col min="10" max="10" width="11.375" bestFit="1" customWidth="1"/>
    <col min="11" max="11" width="9.875" bestFit="1" customWidth="1"/>
    <col min="12" max="12" width="11.375" bestFit="1" customWidth="1"/>
    <col min="13" max="14" width="7" bestFit="1" customWidth="1"/>
    <col min="15" max="21" width="9" customWidth="1"/>
    <col min="22" max="23" width="11.375" bestFit="1" customWidth="1"/>
    <col min="24" max="24" width="11.625" bestFit="1" customWidth="1"/>
    <col min="25" max="25" width="12.5" bestFit="1" customWidth="1"/>
    <col min="26" max="26" width="6.875" bestFit="1" customWidth="1"/>
    <col min="27" max="33" width="7.375" customWidth="1"/>
    <col min="34" max="34" width="7.875" bestFit="1" customWidth="1"/>
  </cols>
  <sheetData>
    <row r="3" spans="2:22" s="15" customFormat="1" ht="28.5">
      <c r="B3" s="24" t="s">
        <v>349</v>
      </c>
      <c r="C3" s="24" t="s">
        <v>350</v>
      </c>
      <c r="I3"/>
      <c r="J3"/>
      <c r="K3"/>
      <c r="L3"/>
      <c r="M3"/>
      <c r="N3"/>
      <c r="O3"/>
      <c r="P3"/>
      <c r="Q3"/>
      <c r="R3"/>
      <c r="S3"/>
      <c r="T3"/>
      <c r="U3"/>
      <c r="V3"/>
    </row>
    <row r="4" spans="2:22" s="15" customFormat="1" ht="28.5">
      <c r="B4" s="24" t="s">
        <v>347</v>
      </c>
      <c r="C4" s="15" t="s">
        <v>168</v>
      </c>
      <c r="D4" s="15" t="s">
        <v>167</v>
      </c>
      <c r="E4" s="15" t="s">
        <v>169</v>
      </c>
      <c r="F4" s="15" t="s">
        <v>78</v>
      </c>
      <c r="G4" s="15" t="s">
        <v>66</v>
      </c>
      <c r="H4" s="15" t="s">
        <v>348</v>
      </c>
    </row>
    <row r="5" spans="2:22">
      <c r="B5" s="16" t="s">
        <v>164</v>
      </c>
      <c r="C5" s="2">
        <v>20</v>
      </c>
      <c r="D5" s="2"/>
      <c r="E5" s="2">
        <v>20</v>
      </c>
      <c r="F5" s="2"/>
      <c r="G5" s="2">
        <v>5</v>
      </c>
      <c r="H5" s="2">
        <v>45</v>
      </c>
    </row>
    <row r="6" spans="2:22">
      <c r="B6" s="16" t="s">
        <v>162</v>
      </c>
      <c r="C6" s="2"/>
      <c r="D6" s="2">
        <v>0.60000000000000009</v>
      </c>
      <c r="E6" s="2"/>
      <c r="F6" s="2">
        <v>12.5</v>
      </c>
      <c r="G6" s="2">
        <v>0</v>
      </c>
      <c r="H6" s="2">
        <v>13.1</v>
      </c>
    </row>
    <row r="7" spans="2:22">
      <c r="B7" s="16" t="s">
        <v>51</v>
      </c>
      <c r="C7" s="2"/>
      <c r="D7" s="2"/>
      <c r="E7" s="2"/>
      <c r="F7" s="2">
        <v>7.5</v>
      </c>
      <c r="G7" s="2">
        <v>0</v>
      </c>
      <c r="H7" s="2">
        <v>7.5</v>
      </c>
    </row>
    <row r="8" spans="2:22">
      <c r="B8" s="16" t="s">
        <v>348</v>
      </c>
      <c r="C8">
        <v>20</v>
      </c>
      <c r="D8">
        <v>0.60000000000000009</v>
      </c>
      <c r="E8">
        <v>20</v>
      </c>
      <c r="F8">
        <v>20</v>
      </c>
      <c r="G8">
        <v>5</v>
      </c>
      <c r="H8">
        <v>65.599999999999994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48715-5BBF-4085-B623-C428D9DDCD39}">
  <dimension ref="C4:C167"/>
  <sheetViews>
    <sheetView topLeftCell="A130" workbookViewId="0">
      <selection activeCell="C66" sqref="C66"/>
    </sheetView>
    <sheetView topLeftCell="A9" workbookViewId="1"/>
  </sheetViews>
  <sheetFormatPr defaultRowHeight="14.25"/>
  <cols>
    <col min="3" max="3" width="118.125" bestFit="1" customWidth="1"/>
  </cols>
  <sheetData>
    <row r="4" spans="3:3">
      <c r="C4" s="19"/>
    </row>
    <row r="5" spans="3:3" ht="15">
      <c r="C5" s="20" t="s">
        <v>251</v>
      </c>
    </row>
    <row r="6" spans="3:3" ht="15">
      <c r="C6" s="20" t="s">
        <v>252</v>
      </c>
    </row>
    <row r="7" spans="3:3" ht="15">
      <c r="C7" s="21" t="s">
        <v>253</v>
      </c>
    </row>
    <row r="8" spans="3:3" ht="15">
      <c r="C8" s="21" t="s">
        <v>254</v>
      </c>
    </row>
    <row r="9" spans="3:3" ht="15">
      <c r="C9" s="21" t="s">
        <v>255</v>
      </c>
    </row>
    <row r="10" spans="3:3" ht="15">
      <c r="C10" s="21" t="s">
        <v>121</v>
      </c>
    </row>
    <row r="11" spans="3:3">
      <c r="C11" s="19"/>
    </row>
    <row r="12" spans="3:3" ht="15">
      <c r="C12" s="20" t="s">
        <v>256</v>
      </c>
    </row>
    <row r="13" spans="3:3" ht="15">
      <c r="C13" s="20" t="s">
        <v>257</v>
      </c>
    </row>
    <row r="14" spans="3:3" ht="15">
      <c r="C14" s="21" t="s">
        <v>253</v>
      </c>
    </row>
    <row r="15" spans="3:3" ht="15">
      <c r="C15" s="21" t="s">
        <v>258</v>
      </c>
    </row>
    <row r="16" spans="3:3" ht="15">
      <c r="C16" s="21" t="s">
        <v>259</v>
      </c>
    </row>
    <row r="17" spans="3:3" ht="15">
      <c r="C17" s="21" t="s">
        <v>121</v>
      </c>
    </row>
    <row r="18" spans="3:3">
      <c r="C18" s="19"/>
    </row>
    <row r="19" spans="3:3" ht="15">
      <c r="C19" s="20" t="s">
        <v>260</v>
      </c>
    </row>
    <row r="20" spans="3:3" ht="15">
      <c r="C20" s="20" t="s">
        <v>261</v>
      </c>
    </row>
    <row r="21" spans="3:3" ht="15">
      <c r="C21" s="21" t="s">
        <v>253</v>
      </c>
    </row>
    <row r="22" spans="3:3" ht="15">
      <c r="C22" s="21" t="s">
        <v>262</v>
      </c>
    </row>
    <row r="23" spans="3:3" ht="15">
      <c r="C23" s="21" t="s">
        <v>263</v>
      </c>
    </row>
    <row r="24" spans="3:3" ht="15">
      <c r="C24" s="21" t="s">
        <v>121</v>
      </c>
    </row>
    <row r="25" spans="3:3">
      <c r="C25" s="19"/>
    </row>
    <row r="26" spans="3:3" ht="15">
      <c r="C26" s="20" t="s">
        <v>264</v>
      </c>
    </row>
    <row r="27" spans="3:3" ht="15">
      <c r="C27" s="20" t="s">
        <v>265</v>
      </c>
    </row>
    <row r="28" spans="3:3" ht="15">
      <c r="C28" s="21" t="s">
        <v>266</v>
      </c>
    </row>
    <row r="29" spans="3:3" ht="15">
      <c r="C29" s="21" t="s">
        <v>267</v>
      </c>
    </row>
    <row r="30" spans="3:3" ht="15">
      <c r="C30" s="21" t="s">
        <v>268</v>
      </c>
    </row>
    <row r="31" spans="3:3" ht="15">
      <c r="C31" s="21" t="s">
        <v>121</v>
      </c>
    </row>
    <row r="32" spans="3:3">
      <c r="C32" s="19"/>
    </row>
    <row r="33" spans="3:3" ht="15">
      <c r="C33" s="20" t="s">
        <v>269</v>
      </c>
    </row>
    <row r="34" spans="3:3" ht="15">
      <c r="C34" s="20" t="s">
        <v>270</v>
      </c>
    </row>
    <row r="35" spans="3:3" ht="15">
      <c r="C35" s="21" t="s">
        <v>253</v>
      </c>
    </row>
    <row r="36" spans="3:3" ht="15">
      <c r="C36" s="21" t="s">
        <v>271</v>
      </c>
    </row>
    <row r="37" spans="3:3" ht="15">
      <c r="C37" s="21" t="s">
        <v>272</v>
      </c>
    </row>
    <row r="38" spans="3:3" ht="15">
      <c r="C38" s="21" t="s">
        <v>273</v>
      </c>
    </row>
    <row r="39" spans="3:3" ht="15">
      <c r="C39" s="21" t="s">
        <v>274</v>
      </c>
    </row>
    <row r="40" spans="3:3" ht="15">
      <c r="C40" s="21" t="s">
        <v>121</v>
      </c>
    </row>
    <row r="41" spans="3:3">
      <c r="C41" s="19"/>
    </row>
    <row r="42" spans="3:3" ht="15">
      <c r="C42" s="20" t="s">
        <v>275</v>
      </c>
    </row>
    <row r="43" spans="3:3" ht="15">
      <c r="C43" s="20" t="s">
        <v>276</v>
      </c>
    </row>
    <row r="44" spans="3:3" ht="15">
      <c r="C44" s="21" t="s">
        <v>253</v>
      </c>
    </row>
    <row r="45" spans="3:3" ht="15">
      <c r="C45" s="21" t="s">
        <v>277</v>
      </c>
    </row>
    <row r="46" spans="3:3" ht="15">
      <c r="C46" s="21" t="s">
        <v>278</v>
      </c>
    </row>
    <row r="47" spans="3:3" ht="15">
      <c r="C47" s="21" t="s">
        <v>121</v>
      </c>
    </row>
    <row r="48" spans="3:3">
      <c r="C48" s="19"/>
    </row>
    <row r="49" spans="3:3">
      <c r="C49" s="19"/>
    </row>
    <row r="50" spans="3:3">
      <c r="C50" s="19"/>
    </row>
    <row r="51" spans="3:3">
      <c r="C51" s="19"/>
    </row>
    <row r="52" spans="3:3" ht="15">
      <c r="C52" s="20" t="s">
        <v>279</v>
      </c>
    </row>
    <row r="53" spans="3:3" ht="15">
      <c r="C53" s="20" t="s">
        <v>280</v>
      </c>
    </row>
    <row r="54" spans="3:3" ht="15">
      <c r="C54" s="20" t="s">
        <v>281</v>
      </c>
    </row>
    <row r="55" spans="3:3" ht="15">
      <c r="C55" s="21" t="s">
        <v>282</v>
      </c>
    </row>
    <row r="56" spans="3:3" ht="15">
      <c r="C56" s="21" t="s">
        <v>283</v>
      </c>
    </row>
    <row r="57" spans="3:3" ht="15">
      <c r="C57" s="21" t="s">
        <v>284</v>
      </c>
    </row>
    <row r="58" spans="3:3" ht="15">
      <c r="C58" s="21" t="s">
        <v>121</v>
      </c>
    </row>
    <row r="59" spans="3:3">
      <c r="C59" s="19"/>
    </row>
    <row r="60" spans="3:3" ht="15">
      <c r="C60" s="20" t="s">
        <v>285</v>
      </c>
    </row>
    <row r="61" spans="3:3" ht="15">
      <c r="C61" s="20" t="s">
        <v>286</v>
      </c>
    </row>
    <row r="62" spans="3:3" ht="15">
      <c r="C62" s="20" t="s">
        <v>287</v>
      </c>
    </row>
    <row r="63" spans="3:3" ht="15">
      <c r="C63" s="21" t="s">
        <v>288</v>
      </c>
    </row>
    <row r="64" spans="3:3" ht="15">
      <c r="C64" s="21" t="s">
        <v>289</v>
      </c>
    </row>
    <row r="65" spans="3:3" ht="15">
      <c r="C65" s="21" t="s">
        <v>121</v>
      </c>
    </row>
    <row r="66" spans="3:3">
      <c r="C66" s="19"/>
    </row>
    <row r="67" spans="3:3" ht="15">
      <c r="C67" s="20" t="s">
        <v>290</v>
      </c>
    </row>
    <row r="68" spans="3:3" ht="15">
      <c r="C68" s="20" t="s">
        <v>291</v>
      </c>
    </row>
    <row r="69" spans="3:3" ht="15">
      <c r="C69" s="20" t="s">
        <v>292</v>
      </c>
    </row>
    <row r="70" spans="3:3" ht="15">
      <c r="C70" s="21" t="s">
        <v>293</v>
      </c>
    </row>
    <row r="71" spans="3:3" ht="15">
      <c r="C71" s="21" t="s">
        <v>294</v>
      </c>
    </row>
    <row r="72" spans="3:3" ht="15">
      <c r="C72" s="21" t="s">
        <v>295</v>
      </c>
    </row>
    <row r="73" spans="3:3" ht="15">
      <c r="C73" s="21" t="s">
        <v>121</v>
      </c>
    </row>
    <row r="74" spans="3:3">
      <c r="C74" s="19"/>
    </row>
    <row r="75" spans="3:3" ht="15">
      <c r="C75" s="20" t="s">
        <v>296</v>
      </c>
    </row>
    <row r="76" spans="3:3" ht="15">
      <c r="C76" s="20" t="s">
        <v>297</v>
      </c>
    </row>
    <row r="77" spans="3:3" ht="15">
      <c r="C77" s="20" t="s">
        <v>298</v>
      </c>
    </row>
    <row r="78" spans="3:3" ht="15">
      <c r="C78" s="21" t="s">
        <v>299</v>
      </c>
    </row>
    <row r="79" spans="3:3" ht="15">
      <c r="C79" s="21" t="s">
        <v>300</v>
      </c>
    </row>
    <row r="80" spans="3:3" ht="15">
      <c r="C80" s="21" t="s">
        <v>301</v>
      </c>
    </row>
    <row r="81" spans="3:3" ht="15">
      <c r="C81" s="21" t="s">
        <v>121</v>
      </c>
    </row>
    <row r="82" spans="3:3">
      <c r="C82" s="19"/>
    </row>
    <row r="83" spans="3:3" ht="15">
      <c r="C83" s="20" t="s">
        <v>302</v>
      </c>
    </row>
    <row r="84" spans="3:3" ht="15">
      <c r="C84" s="20" t="s">
        <v>303</v>
      </c>
    </row>
    <row r="85" spans="3:3" ht="15">
      <c r="C85" s="20" t="s">
        <v>304</v>
      </c>
    </row>
    <row r="86" spans="3:3" ht="15">
      <c r="C86" s="21" t="s">
        <v>305</v>
      </c>
    </row>
    <row r="87" spans="3:3" ht="15">
      <c r="C87" s="21" t="s">
        <v>306</v>
      </c>
    </row>
    <row r="88" spans="3:3" ht="15">
      <c r="C88" s="21" t="s">
        <v>307</v>
      </c>
    </row>
    <row r="89" spans="3:3" ht="15">
      <c r="C89" s="21" t="s">
        <v>308</v>
      </c>
    </row>
    <row r="90" spans="3:3" ht="15">
      <c r="C90" s="21" t="s">
        <v>121</v>
      </c>
    </row>
    <row r="91" spans="3:3">
      <c r="C91" s="19"/>
    </row>
    <row r="92" spans="3:3">
      <c r="C92" s="19"/>
    </row>
    <row r="93" spans="3:3" ht="15">
      <c r="C93" s="22" t="s">
        <v>309</v>
      </c>
    </row>
    <row r="94" spans="3:3">
      <c r="C94" s="19"/>
    </row>
    <row r="95" spans="3:3">
      <c r="C95" s="19"/>
    </row>
    <row r="96" spans="3:3" ht="15">
      <c r="C96" s="23" t="s">
        <v>310</v>
      </c>
    </row>
    <row r="97" spans="3:3" ht="15">
      <c r="C97" s="23" t="s">
        <v>311</v>
      </c>
    </row>
    <row r="98" spans="3:3">
      <c r="C98" s="19"/>
    </row>
    <row r="99" spans="3:3" ht="15">
      <c r="C99" s="22" t="s">
        <v>312</v>
      </c>
    </row>
    <row r="100" spans="3:3">
      <c r="C100" s="19"/>
    </row>
    <row r="101" spans="3:3">
      <c r="C101" s="19"/>
    </row>
    <row r="102" spans="3:3">
      <c r="C102" s="19"/>
    </row>
    <row r="103" spans="3:3" ht="15">
      <c r="C103" s="20" t="s">
        <v>313</v>
      </c>
    </row>
    <row r="104" spans="3:3" ht="15">
      <c r="C104" s="20" t="s">
        <v>314</v>
      </c>
    </row>
    <row r="105" spans="3:3" ht="15">
      <c r="C105" s="20" t="s">
        <v>315</v>
      </c>
    </row>
    <row r="106" spans="3:3" ht="15">
      <c r="C106" s="21" t="s">
        <v>316</v>
      </c>
    </row>
    <row r="107" spans="3:3" ht="15">
      <c r="C107" s="21" t="s">
        <v>317</v>
      </c>
    </row>
    <row r="108" spans="3:3" ht="15">
      <c r="C108" s="21" t="s">
        <v>318</v>
      </c>
    </row>
    <row r="109" spans="3:3" ht="15">
      <c r="C109" s="21" t="s">
        <v>319</v>
      </c>
    </row>
    <row r="110" spans="3:3" ht="15">
      <c r="C110" s="21" t="s">
        <v>121</v>
      </c>
    </row>
    <row r="111" spans="3:3">
      <c r="C111" s="19"/>
    </row>
    <row r="112" spans="3:3" ht="15">
      <c r="C112" s="20" t="s">
        <v>320</v>
      </c>
    </row>
    <row r="113" spans="3:3" ht="15">
      <c r="C113" s="20" t="s">
        <v>321</v>
      </c>
    </row>
    <row r="114" spans="3:3" ht="15">
      <c r="C114" s="20" t="s">
        <v>322</v>
      </c>
    </row>
    <row r="115" spans="3:3" ht="15">
      <c r="C115" s="21" t="s">
        <v>323</v>
      </c>
    </row>
    <row r="116" spans="3:3" ht="15">
      <c r="C116" s="21" t="s">
        <v>317</v>
      </c>
    </row>
    <row r="117" spans="3:3" ht="15">
      <c r="C117" s="21" t="s">
        <v>318</v>
      </c>
    </row>
    <row r="118" spans="3:3" ht="15">
      <c r="C118" s="21" t="s">
        <v>319</v>
      </c>
    </row>
    <row r="119" spans="3:3" ht="15">
      <c r="C119" s="21" t="s">
        <v>121</v>
      </c>
    </row>
    <row r="120" spans="3:3" ht="15">
      <c r="C120" s="20" t="s">
        <v>324</v>
      </c>
    </row>
    <row r="121" spans="3:3" ht="15">
      <c r="C121" s="20" t="s">
        <v>325</v>
      </c>
    </row>
    <row r="122" spans="3:3" ht="15">
      <c r="C122" s="20" t="s">
        <v>326</v>
      </c>
    </row>
    <row r="123" spans="3:3" ht="15">
      <c r="C123" s="21" t="s">
        <v>327</v>
      </c>
    </row>
    <row r="124" spans="3:3" ht="15">
      <c r="C124" s="21" t="s">
        <v>317</v>
      </c>
    </row>
    <row r="125" spans="3:3" ht="15">
      <c r="C125" s="21" t="s">
        <v>318</v>
      </c>
    </row>
    <row r="126" spans="3:3" ht="15">
      <c r="C126" s="21" t="s">
        <v>319</v>
      </c>
    </row>
    <row r="127" spans="3:3" ht="15">
      <c r="C127" s="21" t="s">
        <v>121</v>
      </c>
    </row>
    <row r="128" spans="3:3" ht="15">
      <c r="C128" s="20" t="s">
        <v>328</v>
      </c>
    </row>
    <row r="129" spans="3:3" ht="15">
      <c r="C129" s="20" t="s">
        <v>329</v>
      </c>
    </row>
    <row r="130" spans="3:3" ht="15">
      <c r="C130" s="20" t="s">
        <v>330</v>
      </c>
    </row>
    <row r="131" spans="3:3" ht="15">
      <c r="C131" s="21" t="s">
        <v>331</v>
      </c>
    </row>
    <row r="132" spans="3:3" ht="15">
      <c r="C132" s="21" t="s">
        <v>317</v>
      </c>
    </row>
    <row r="133" spans="3:3" ht="15">
      <c r="C133" s="21" t="s">
        <v>318</v>
      </c>
    </row>
    <row r="134" spans="3:3" ht="15">
      <c r="C134" s="21" t="s">
        <v>319</v>
      </c>
    </row>
    <row r="135" spans="3:3" ht="15">
      <c r="C135" s="21" t="s">
        <v>121</v>
      </c>
    </row>
    <row r="136" spans="3:3">
      <c r="C136" s="19"/>
    </row>
    <row r="137" spans="3:3" ht="15">
      <c r="C137" s="20" t="s">
        <v>328</v>
      </c>
    </row>
    <row r="138" spans="3:3" ht="15">
      <c r="C138" s="20" t="s">
        <v>329</v>
      </c>
    </row>
    <row r="139" spans="3:3" ht="15">
      <c r="C139" s="20" t="s">
        <v>330</v>
      </c>
    </row>
    <row r="140" spans="3:3" ht="15">
      <c r="C140" s="21" t="s">
        <v>331</v>
      </c>
    </row>
    <row r="141" spans="3:3" ht="15">
      <c r="C141" s="21" t="s">
        <v>317</v>
      </c>
    </row>
    <row r="142" spans="3:3" ht="15">
      <c r="C142" s="21" t="s">
        <v>318</v>
      </c>
    </row>
    <row r="143" spans="3:3" ht="15">
      <c r="C143" s="21" t="s">
        <v>319</v>
      </c>
    </row>
    <row r="144" spans="3:3" ht="15">
      <c r="C144" s="21" t="s">
        <v>121</v>
      </c>
    </row>
    <row r="145" spans="3:3">
      <c r="C145" s="19"/>
    </row>
    <row r="146" spans="3:3" ht="15">
      <c r="C146" s="20" t="s">
        <v>332</v>
      </c>
    </row>
    <row r="147" spans="3:3" ht="15">
      <c r="C147" s="20" t="s">
        <v>333</v>
      </c>
    </row>
    <row r="148" spans="3:3" ht="15">
      <c r="C148" s="20" t="s">
        <v>334</v>
      </c>
    </row>
    <row r="149" spans="3:3" ht="15">
      <c r="C149" s="21" t="s">
        <v>335</v>
      </c>
    </row>
    <row r="150" spans="3:3" ht="15">
      <c r="C150" s="21" t="s">
        <v>317</v>
      </c>
    </row>
    <row r="151" spans="3:3" ht="15">
      <c r="C151" s="21" t="s">
        <v>318</v>
      </c>
    </row>
    <row r="152" spans="3:3" ht="15">
      <c r="C152" s="21" t="s">
        <v>319</v>
      </c>
    </row>
    <row r="153" spans="3:3" ht="15">
      <c r="C153" s="21" t="s">
        <v>121</v>
      </c>
    </row>
    <row r="154" spans="3:3">
      <c r="C154" s="19"/>
    </row>
    <row r="155" spans="3:3" ht="15">
      <c r="C155" s="20" t="s">
        <v>336</v>
      </c>
    </row>
    <row r="156" spans="3:3" ht="15">
      <c r="C156" s="20" t="s">
        <v>337</v>
      </c>
    </row>
    <row r="157" spans="3:3" ht="15">
      <c r="C157" s="20" t="s">
        <v>338</v>
      </c>
    </row>
    <row r="158" spans="3:3" ht="15">
      <c r="C158" s="21" t="s">
        <v>339</v>
      </c>
    </row>
    <row r="159" spans="3:3" ht="15">
      <c r="C159" s="21" t="s">
        <v>317</v>
      </c>
    </row>
    <row r="160" spans="3:3" ht="15">
      <c r="C160" s="21" t="s">
        <v>318</v>
      </c>
    </row>
    <row r="161" spans="3:3" ht="15">
      <c r="C161" s="21" t="s">
        <v>319</v>
      </c>
    </row>
    <row r="162" spans="3:3" ht="15">
      <c r="C162" s="21" t="s">
        <v>121</v>
      </c>
    </row>
    <row r="163" spans="3:3">
      <c r="C163" s="19"/>
    </row>
    <row r="164" spans="3:3">
      <c r="C164" s="19"/>
    </row>
    <row r="165" spans="3:3" ht="15">
      <c r="C165" s="22" t="s">
        <v>309</v>
      </c>
    </row>
    <row r="166" spans="3:3" ht="15">
      <c r="C166" s="22" t="s">
        <v>312</v>
      </c>
    </row>
    <row r="167" spans="3:3">
      <c r="C167" s="19"/>
    </row>
  </sheetData>
  <autoFilter ref="C4:C167" xr:uid="{9E148715-5BBF-4085-B623-C428D9DDCD39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8318C-CA68-4EB8-AA36-1FC23F5E77D3}">
  <sheetPr codeName="Sheet4"/>
  <dimension ref="B2:K19"/>
  <sheetViews>
    <sheetView topLeftCell="F1" workbookViewId="0">
      <selection activeCell="K26" sqref="K26"/>
    </sheetView>
    <sheetView workbookViewId="1"/>
  </sheetViews>
  <sheetFormatPr defaultRowHeight="14.25"/>
  <cols>
    <col min="3" max="3" width="36.125" customWidth="1"/>
    <col min="4" max="4" width="10.875" bestFit="1" customWidth="1"/>
    <col min="5" max="5" width="13.375" bestFit="1" customWidth="1"/>
    <col min="8" max="8" width="29.25" bestFit="1" customWidth="1"/>
    <col min="10" max="10" width="10" customWidth="1"/>
    <col min="11" max="11" width="53" customWidth="1"/>
  </cols>
  <sheetData>
    <row r="2" spans="2:11">
      <c r="K2" t="str">
        <f>"{ 
" &amp;
_xlfn.TEXTJOIN(", 
", TRUE, Table1[line items])
&amp; "
}"</f>
        <v>{ 
    { name = "space-platform-foundation", type = "item", amount = 500 }, 
    { name = "solar-panel", type = "item", amount = 20 }, 
    { name = "astra-simple-crusher", type = "item", amount = 4 }, 
    { name = "astra-simple-asteroid-collector", type = "item", amount = 6 }, 
    { name = "inserter", type = "item", amount = 6 }, 
    { name = "electric-furnace", type = "item", amount = 8 }, 
    { name = "assembling-machine-1", type = "item", amount = 2 }, 
    { name = "iron-plate", type = "item", amount = 50 }, 
    { name = "efficiency-module-2", type = "item", amount = 6 }, 
    { name = "transport-belt", type = "item", amount = 40 }
}</v>
      </c>
    </row>
    <row r="5" spans="2:11" ht="15">
      <c r="B5" s="10"/>
      <c r="C5" s="11" t="s">
        <v>142</v>
      </c>
      <c r="D5" s="10"/>
      <c r="E5" s="10"/>
      <c r="H5" t="s">
        <v>30</v>
      </c>
      <c r="I5" t="s">
        <v>29</v>
      </c>
      <c r="J5" t="s">
        <v>122</v>
      </c>
      <c r="K5" t="s">
        <v>153</v>
      </c>
    </row>
    <row r="6" spans="2:11" ht="15">
      <c r="B6" s="10"/>
      <c r="C6" s="11" t="s">
        <v>123</v>
      </c>
      <c r="D6" s="10" t="s">
        <v>124</v>
      </c>
      <c r="E6" s="10" t="s">
        <v>125</v>
      </c>
      <c r="H6" t="s">
        <v>143</v>
      </c>
      <c r="I6" t="str">
        <f t="shared" ref="I6:I15" si="0">"""item"""</f>
        <v>"item"</v>
      </c>
      <c r="J6">
        <v>500</v>
      </c>
      <c r="K6" t="str" cm="1">
        <f t="array" ref="K6">"    { " &amp; _xlfn.TEXTJOIN(", ", TRUE, Table1[[#Headers],[name]:[amount]] &amp; " = " &amp; Table1[[#This Row],[name]:[amount]]) &amp; " }"</f>
        <v xml:space="preserve">    { name = "space-platform-foundation", type = "item", amount = 500 }</v>
      </c>
    </row>
    <row r="7" spans="2:11" ht="15">
      <c r="B7" s="10"/>
      <c r="C7" s="11" t="s">
        <v>126</v>
      </c>
      <c r="D7" s="10" t="s">
        <v>124</v>
      </c>
      <c r="E7" s="10" t="s">
        <v>127</v>
      </c>
      <c r="H7" t="s">
        <v>144</v>
      </c>
      <c r="I7" t="str">
        <f t="shared" si="0"/>
        <v>"item"</v>
      </c>
      <c r="J7">
        <v>20</v>
      </c>
      <c r="K7" t="str" cm="1">
        <f t="array" ref="K7">"    { " &amp; _xlfn.TEXTJOIN(", ", TRUE, Table1[[#Headers],[name]:[amount]] &amp; " = " &amp; Table1[[#This Row],[name]:[amount]]) &amp; " }"</f>
        <v xml:space="preserve">    { name = "solar-panel", type = "item", amount = 20 }</v>
      </c>
    </row>
    <row r="8" spans="2:11" ht="15">
      <c r="B8" s="10"/>
      <c r="C8" s="11" t="s">
        <v>128</v>
      </c>
      <c r="D8" s="10" t="s">
        <v>124</v>
      </c>
      <c r="E8" s="10" t="s">
        <v>129</v>
      </c>
      <c r="H8" t="s">
        <v>145</v>
      </c>
      <c r="I8" t="str">
        <f t="shared" si="0"/>
        <v>"item"</v>
      </c>
      <c r="J8">
        <v>4</v>
      </c>
      <c r="K8" t="str" cm="1">
        <f t="array" ref="K8">"    { " &amp; _xlfn.TEXTJOIN(", ", TRUE, Table1[[#Headers],[name]:[amount]] &amp; " = " &amp; Table1[[#This Row],[name]:[amount]]) &amp; " }"</f>
        <v xml:space="preserve">    { name = "astra-simple-crusher", type = "item", amount = 4 }</v>
      </c>
    </row>
    <row r="9" spans="2:11" ht="15">
      <c r="B9" s="10"/>
      <c r="C9" s="11" t="s">
        <v>130</v>
      </c>
      <c r="D9" s="10" t="s">
        <v>124</v>
      </c>
      <c r="E9" s="10" t="s">
        <v>131</v>
      </c>
      <c r="H9" t="s">
        <v>146</v>
      </c>
      <c r="I9" t="str">
        <f t="shared" si="0"/>
        <v>"item"</v>
      </c>
      <c r="J9">
        <v>6</v>
      </c>
      <c r="K9" t="str" cm="1">
        <f t="array" ref="K9">"    { " &amp; _xlfn.TEXTJOIN(", ", TRUE, Table1[[#Headers],[name]:[amount]] &amp; " = " &amp; Table1[[#This Row],[name]:[amount]]) &amp; " }"</f>
        <v xml:space="preserve">    { name = "astra-simple-asteroid-collector", type = "item", amount = 6 }</v>
      </c>
    </row>
    <row r="10" spans="2:11" ht="15">
      <c r="B10" s="10"/>
      <c r="C10" s="11" t="s">
        <v>132</v>
      </c>
      <c r="D10" s="10" t="s">
        <v>124</v>
      </c>
      <c r="E10" s="10" t="s">
        <v>131</v>
      </c>
      <c r="H10" t="s">
        <v>147</v>
      </c>
      <c r="I10" t="str">
        <f t="shared" si="0"/>
        <v>"item"</v>
      </c>
      <c r="J10">
        <v>6</v>
      </c>
      <c r="K10" t="str" cm="1">
        <f t="array" ref="K10">"    { " &amp; _xlfn.TEXTJOIN(", ", TRUE, Table1[[#Headers],[name]:[amount]] &amp; " = " &amp; Table1[[#This Row],[name]:[amount]]) &amp; " }"</f>
        <v xml:space="preserve">    { name = "inserter", type = "item", amount = 6 }</v>
      </c>
    </row>
    <row r="11" spans="2:11" ht="15">
      <c r="B11" s="10"/>
      <c r="C11" s="11" t="s">
        <v>133</v>
      </c>
      <c r="D11" s="10" t="s">
        <v>124</v>
      </c>
      <c r="E11" s="10" t="s">
        <v>134</v>
      </c>
      <c r="H11" t="s">
        <v>148</v>
      </c>
      <c r="I11" t="str">
        <f t="shared" si="0"/>
        <v>"item"</v>
      </c>
      <c r="J11">
        <v>8</v>
      </c>
      <c r="K11" t="str" cm="1">
        <f t="array" ref="K11">"    { " &amp; _xlfn.TEXTJOIN(", ", TRUE, Table1[[#Headers],[name]:[amount]] &amp; " = " &amp; Table1[[#This Row],[name]:[amount]]) &amp; " }"</f>
        <v xml:space="preserve">    { name = "electric-furnace", type = "item", amount = 8 }</v>
      </c>
    </row>
    <row r="12" spans="2:11" ht="15">
      <c r="B12" s="10"/>
      <c r="C12" s="11" t="s">
        <v>135</v>
      </c>
      <c r="D12" s="10" t="s">
        <v>124</v>
      </c>
      <c r="E12" s="10" t="s">
        <v>136</v>
      </c>
      <c r="H12" t="s">
        <v>149</v>
      </c>
      <c r="I12" t="str">
        <f t="shared" si="0"/>
        <v>"item"</v>
      </c>
      <c r="J12">
        <v>2</v>
      </c>
      <c r="K12" t="str" cm="1">
        <f t="array" ref="K12">"    { " &amp; _xlfn.TEXTJOIN(", ", TRUE, Table1[[#Headers],[name]:[amount]] &amp; " = " &amp; Table1[[#This Row],[name]:[amount]]) &amp; " }"</f>
        <v xml:space="preserve">    { name = "assembling-machine-1", type = "item", amount = 2 }</v>
      </c>
    </row>
    <row r="13" spans="2:11" ht="15">
      <c r="B13" s="10"/>
      <c r="C13" s="11" t="s">
        <v>137</v>
      </c>
      <c r="D13" s="10" t="s">
        <v>124</v>
      </c>
      <c r="E13" s="10" t="s">
        <v>138</v>
      </c>
      <c r="H13" t="s">
        <v>150</v>
      </c>
      <c r="I13" t="str">
        <f t="shared" si="0"/>
        <v>"item"</v>
      </c>
      <c r="J13">
        <v>50</v>
      </c>
      <c r="K13" t="str" cm="1">
        <f t="array" ref="K13">"    { " &amp; _xlfn.TEXTJOIN(", ", TRUE, Table1[[#Headers],[name]:[amount]] &amp; " = " &amp; Table1[[#This Row],[name]:[amount]]) &amp; " }"</f>
        <v xml:space="preserve">    { name = "iron-plate", type = "item", amount = 50 }</v>
      </c>
    </row>
    <row r="14" spans="2:11" ht="15">
      <c r="B14" s="10"/>
      <c r="C14" s="11" t="s">
        <v>139</v>
      </c>
      <c r="D14" s="10" t="s">
        <v>124</v>
      </c>
      <c r="E14" s="10" t="s">
        <v>131</v>
      </c>
      <c r="H14" t="s">
        <v>151</v>
      </c>
      <c r="I14" t="str">
        <f t="shared" si="0"/>
        <v>"item"</v>
      </c>
      <c r="J14">
        <v>6</v>
      </c>
      <c r="K14" t="str" cm="1">
        <f t="array" ref="K14">"    { " &amp; _xlfn.TEXTJOIN(", ", TRUE, Table1[[#Headers],[name]:[amount]] &amp; " = " &amp; Table1[[#This Row],[name]:[amount]]) &amp; " }"</f>
        <v xml:space="preserve">    { name = "efficiency-module-2", type = "item", amount = 6 }</v>
      </c>
    </row>
    <row r="15" spans="2:11" ht="15">
      <c r="B15" s="10"/>
      <c r="C15" s="11" t="s">
        <v>140</v>
      </c>
      <c r="D15" s="10" t="s">
        <v>124</v>
      </c>
      <c r="E15" s="10" t="s">
        <v>141</v>
      </c>
      <c r="H15" t="s">
        <v>152</v>
      </c>
      <c r="I15" t="str">
        <f t="shared" si="0"/>
        <v>"item"</v>
      </c>
      <c r="J15">
        <v>40</v>
      </c>
      <c r="K15" t="str" cm="1">
        <f t="array" ref="K15">"    { " &amp; _xlfn.TEXTJOIN(", ", TRUE, Table1[[#Headers],[name]:[amount]] &amp; " = " &amp; Table1[[#This Row],[name]:[amount]]) &amp; " }"</f>
        <v xml:space="preserve">    { name = "transport-belt", type = "item", amount = 40 }</v>
      </c>
    </row>
    <row r="16" spans="2:11" ht="15">
      <c r="B16" s="10"/>
      <c r="C16" s="11" t="s">
        <v>121</v>
      </c>
      <c r="D16" s="10"/>
      <c r="E16" s="10"/>
    </row>
    <row r="17" spans="2:5">
      <c r="B17" s="10"/>
      <c r="C17" s="10"/>
      <c r="D17" s="10"/>
      <c r="E17" s="10"/>
    </row>
    <row r="18" spans="2:5">
      <c r="B18" s="10"/>
      <c r="C18" s="10"/>
      <c r="D18" s="10"/>
      <c r="E18" s="10"/>
    </row>
    <row r="19" spans="2:5">
      <c r="B19" s="10"/>
      <c r="C19" s="10"/>
      <c r="D19" s="10"/>
      <c r="E19" s="1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50F9A8-759B-4FF5-830C-691998011A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Sheet1</vt:lpstr>
      <vt:lpstr>Asteroids (chunks, chunk items)</vt:lpstr>
      <vt:lpstr>Table7</vt:lpstr>
      <vt:lpstr>Recipies</vt:lpstr>
      <vt:lpstr>Recipe Evals</vt:lpstr>
      <vt:lpstr>Sheet4</vt:lpstr>
      <vt:lpstr>Sheet3</vt:lpstr>
      <vt:lpstr>ItemListGen</vt:lpstr>
      <vt:lpstr>advRecipeCopy</vt:lpstr>
      <vt:lpstr>baseRecipeCopy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Gwen Ciano</dc:creator>
  <cp:lastModifiedBy>Gwen Ciano</cp:lastModifiedBy>
  <dcterms:created xsi:type="dcterms:W3CDTF">2025-05-24T16:35:17Z</dcterms:created>
  <dcterms:modified xsi:type="dcterms:W3CDTF">2026-05-19T20:46:35Z</dcterms:modified>
</cp:coreProperties>
</file>