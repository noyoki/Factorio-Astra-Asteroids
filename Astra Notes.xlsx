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Gwen\Documents\GitHub\Factorio-Astra-Asteroids\"/>
    </mc:Choice>
  </mc:AlternateContent>
  <xr:revisionPtr revIDLastSave="0" documentId="13_ncr:1_{E90A9371-19CA-4D14-8C46-DEFD66685BDB}" xr6:coauthVersionLast="47" xr6:coauthVersionMax="47" xr10:uidLastSave="{00000000-0000-0000-0000-000000000000}"/>
  <bookViews>
    <workbookView xWindow="4320" yWindow="240" windowWidth="33195" windowHeight="18090" activeTab="1" xr2:uid="{19A80CD4-A61D-4139-863E-8E630E8C5493}"/>
  </bookViews>
  <sheets>
    <sheet name="Sheet1" sheetId="1" r:id="rId1"/>
    <sheet name="Asteroids (chunks, chunk items)" sheetId="2" r:id="rId2"/>
    <sheet name="Recipies" sheetId="3" r:id="rId3"/>
    <sheet name="ItemListGen" sheetId="4" r:id="rId4"/>
  </sheets>
  <definedNames>
    <definedName name="advRecipeCopy">Recipies!$G$5</definedName>
    <definedName name="baseRecipeCopy">Recipies!$G$4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K2" i="2" a="1"/>
  <c r="K2" i="2" s="1"/>
  <c r="Q9" i="2" a="1"/>
  <c r="Q9" i="2" s="1"/>
  <c r="Q10" i="2" a="1"/>
  <c r="Q10" i="2" s="1"/>
  <c r="Q11" i="2" a="1"/>
  <c r="Q11" i="2" s="1"/>
  <c r="Q12" i="2" a="1"/>
  <c r="Q12" i="2" s="1"/>
  <c r="Q13" i="2" a="1"/>
  <c r="Q13" i="2" s="1"/>
  <c r="I9" i="2" a="1"/>
  <c r="I9" i="2" s="1"/>
  <c r="I10" i="2" a="1"/>
  <c r="I10" i="2" s="1"/>
  <c r="I11" i="2" a="1"/>
  <c r="I11" i="2"/>
  <c r="I12" i="2" a="1"/>
  <c r="I12" i="2"/>
  <c r="I13" i="2" a="1"/>
  <c r="I13" i="2"/>
  <c r="B2" i="2" a="1"/>
  <c r="B2" i="2" s="1"/>
  <c r="M12" i="2"/>
  <c r="M13" i="2"/>
  <c r="D12" i="2"/>
  <c r="D13" i="2"/>
  <c r="E12" i="2"/>
  <c r="E13" i="2"/>
  <c r="H12" i="2"/>
  <c r="H13" i="2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AJ25" i="3" a="1"/>
  <c r="AJ25" i="3" s="1"/>
  <c r="AK25" i="3" a="1"/>
  <c r="AK25" i="3" s="1"/>
  <c r="AL25" i="3" a="1"/>
  <c r="AL25" i="3" s="1"/>
  <c r="AM25" i="3" a="1"/>
  <c r="AM25" i="3" s="1"/>
  <c r="AN25" i="3" a="1"/>
  <c r="AN25" i="3" s="1"/>
  <c r="AJ24" i="3" a="1"/>
  <c r="AJ24" i="3" s="1"/>
  <c r="AJ26" i="3" a="1"/>
  <c r="AJ26" i="3" s="1"/>
  <c r="AK24" i="3" a="1"/>
  <c r="AK24" i="3" s="1"/>
  <c r="AK26" i="3" a="1"/>
  <c r="AK26" i="3" s="1"/>
  <c r="AL24" i="3" a="1"/>
  <c r="AL24" i="3" s="1"/>
  <c r="AL26" i="3" a="1"/>
  <c r="AL26" i="3" s="1"/>
  <c r="AM24" i="3" a="1"/>
  <c r="AM24" i="3" s="1"/>
  <c r="AM26" i="3" a="1"/>
  <c r="AM26" i="3" s="1"/>
  <c r="AN24" i="3" a="1"/>
  <c r="AN24" i="3" s="1"/>
  <c r="AN26" i="3" a="1"/>
  <c r="AN26" i="3" s="1"/>
  <c r="AJ22" i="3" a="1"/>
  <c r="AJ22" i="3" s="1"/>
  <c r="AK22" i="3" a="1"/>
  <c r="AK22" i="3" s="1"/>
  <c r="AL22" i="3" a="1"/>
  <c r="AL22" i="3" s="1"/>
  <c r="AM22" i="3" a="1"/>
  <c r="AM22" i="3" s="1"/>
  <c r="AN22" i="3" a="1"/>
  <c r="AN22" i="3" s="1"/>
  <c r="AJ19" i="3" a="1"/>
  <c r="AJ19" i="3" s="1"/>
  <c r="AJ21" i="3" a="1"/>
  <c r="AJ21" i="3" s="1"/>
  <c r="AK19" i="3" a="1"/>
  <c r="AK19" i="3" s="1"/>
  <c r="AK21" i="3" a="1"/>
  <c r="AK21" i="3" s="1"/>
  <c r="AL19" i="3" a="1"/>
  <c r="AL19" i="3" s="1"/>
  <c r="AL21" i="3" a="1"/>
  <c r="AL21" i="3" s="1"/>
  <c r="AM19" i="3" a="1"/>
  <c r="AM19" i="3" s="1"/>
  <c r="AM21" i="3" a="1"/>
  <c r="AM21" i="3" s="1"/>
  <c r="AN19" i="3" a="1"/>
  <c r="AN19" i="3" s="1"/>
  <c r="AN21" i="3" a="1"/>
  <c r="AN21" i="3" s="1"/>
  <c r="AM13" i="3" a="1"/>
  <c r="AM13" i="3" s="1"/>
  <c r="AM20" i="3" a="1"/>
  <c r="AM20" i="3" s="1"/>
  <c r="AM10" i="3" a="1"/>
  <c r="AM10" i="3" s="1"/>
  <c r="AM12" i="3" a="1"/>
  <c r="AM12" i="3" s="1"/>
  <c r="AM15" i="3" a="1"/>
  <c r="AM15" i="3" s="1"/>
  <c r="AM14" i="3" a="1"/>
  <c r="AM14" i="3" s="1"/>
  <c r="AM23" i="3" a="1"/>
  <c r="AM23" i="3" s="1"/>
  <c r="AM9" i="3" a="1"/>
  <c r="AM9" i="3" s="1"/>
  <c r="AM11" i="3" a="1"/>
  <c r="AM11" i="3" s="1"/>
  <c r="AM8" i="3" a="1"/>
  <c r="AM8" i="3" s="1"/>
  <c r="AM17" i="3" a="1"/>
  <c r="AM17" i="3" s="1"/>
  <c r="AM18" i="3" a="1"/>
  <c r="AM18" i="3" s="1"/>
  <c r="AM16" i="3" a="1"/>
  <c r="AM16" i="3" s="1"/>
  <c r="AL13" i="3" a="1"/>
  <c r="AL13" i="3" s="1"/>
  <c r="AL20" i="3" a="1"/>
  <c r="AL20" i="3" s="1"/>
  <c r="AL10" i="3" a="1"/>
  <c r="AL10" i="3" s="1"/>
  <c r="AL12" i="3" a="1"/>
  <c r="AL12" i="3" s="1"/>
  <c r="AL15" i="3" a="1"/>
  <c r="AL15" i="3" s="1"/>
  <c r="AL14" i="3" a="1"/>
  <c r="AL14" i="3" s="1"/>
  <c r="AL23" i="3" a="1"/>
  <c r="AL23" i="3" s="1"/>
  <c r="AL9" i="3" a="1"/>
  <c r="AL9" i="3" s="1"/>
  <c r="AL11" i="3" a="1"/>
  <c r="AL11" i="3" s="1"/>
  <c r="AL8" i="3" a="1"/>
  <c r="AL8" i="3" s="1"/>
  <c r="AL17" i="3" a="1"/>
  <c r="AL17" i="3" s="1"/>
  <c r="AL18" i="3" a="1"/>
  <c r="AL18" i="3" s="1"/>
  <c r="AL16" i="3" a="1"/>
  <c r="AL16" i="3" s="1"/>
  <c r="AJ13" i="3" a="1"/>
  <c r="AJ13" i="3" s="1"/>
  <c r="AJ20" i="3" a="1"/>
  <c r="AJ20" i="3" s="1"/>
  <c r="AJ10" i="3" a="1"/>
  <c r="AJ10" i="3" s="1"/>
  <c r="AJ12" i="3" a="1"/>
  <c r="AJ12" i="3" s="1"/>
  <c r="AJ15" i="3" a="1"/>
  <c r="AJ15" i="3" s="1"/>
  <c r="AJ14" i="3" a="1"/>
  <c r="AJ14" i="3" s="1"/>
  <c r="AJ23" i="3" a="1"/>
  <c r="AJ23" i="3" s="1"/>
  <c r="AJ9" i="3" a="1"/>
  <c r="AJ9" i="3" s="1"/>
  <c r="AJ11" i="3" a="1"/>
  <c r="AJ11" i="3" s="1"/>
  <c r="AJ8" i="3" a="1"/>
  <c r="AJ8" i="3" s="1"/>
  <c r="AJ17" i="3" a="1"/>
  <c r="AJ17" i="3" s="1"/>
  <c r="AJ18" i="3" a="1"/>
  <c r="AJ18" i="3" s="1"/>
  <c r="AJ16" i="3" a="1"/>
  <c r="AJ16" i="3" s="1"/>
  <c r="AK13" i="3" a="1"/>
  <c r="AK13" i="3" s="1"/>
  <c r="AK20" i="3" a="1"/>
  <c r="AK20" i="3" s="1"/>
  <c r="AK10" i="3" a="1"/>
  <c r="AK10" i="3" s="1"/>
  <c r="AK12" i="3" a="1"/>
  <c r="AK12" i="3" s="1"/>
  <c r="AK15" i="3" a="1"/>
  <c r="AK15" i="3" s="1"/>
  <c r="AK14" i="3" a="1"/>
  <c r="AK14" i="3" s="1"/>
  <c r="AK23" i="3" a="1"/>
  <c r="AK23" i="3" s="1"/>
  <c r="AK9" i="3" a="1"/>
  <c r="AK9" i="3" s="1"/>
  <c r="AK11" i="3" a="1"/>
  <c r="AK11" i="3" s="1"/>
  <c r="AK8" i="3" a="1"/>
  <c r="AK8" i="3" s="1"/>
  <c r="AK17" i="3" a="1"/>
  <c r="AK17" i="3" s="1"/>
  <c r="AK18" i="3" a="1"/>
  <c r="AK18" i="3" s="1"/>
  <c r="AK16" i="3" a="1"/>
  <c r="AK16" i="3" s="1"/>
  <c r="O35" i="3" a="1"/>
  <c r="O35" i="3" s="1"/>
  <c r="O36" i="3"/>
  <c r="AN23" i="3" a="1"/>
  <c r="AN23" i="3" s="1"/>
  <c r="K2" i="4"/>
  <c r="K6" i="4" a="1"/>
  <c r="K6" i="4" s="1"/>
  <c r="K7" i="4" a="1"/>
  <c r="K7" i="4" s="1"/>
  <c r="K8" i="4" a="1"/>
  <c r="K8" i="4" s="1"/>
  <c r="K9" i="4" a="1"/>
  <c r="K9" i="4" s="1"/>
  <c r="K10" i="4" a="1"/>
  <c r="K10" i="4" s="1"/>
  <c r="K11" i="4" a="1"/>
  <c r="K11" i="4" s="1"/>
  <c r="K12" i="4" a="1"/>
  <c r="K12" i="4" s="1"/>
  <c r="K13" i="4" a="1"/>
  <c r="K13" i="4" s="1"/>
  <c r="K14" i="4" a="1"/>
  <c r="K14" i="4" s="1"/>
  <c r="K15" i="4" a="1"/>
  <c r="K15" i="4" s="1"/>
  <c r="I6" i="4"/>
  <c r="I7" i="4"/>
  <c r="I8" i="4"/>
  <c r="I9" i="4"/>
  <c r="I10" i="4"/>
  <c r="I11" i="4"/>
  <c r="I12" i="4"/>
  <c r="I13" i="4"/>
  <c r="I14" i="4"/>
  <c r="I15" i="4"/>
  <c r="AN18" i="3" a="1"/>
  <c r="AN18" i="3" s="1"/>
  <c r="AN16" i="3" a="1"/>
  <c r="AN16" i="3" s="1"/>
  <c r="AN17" i="3" a="1"/>
  <c r="AN17" i="3" s="1"/>
  <c r="AN8" i="3" a="1"/>
  <c r="AN8" i="3" s="1"/>
  <c r="AN11" i="3" a="1"/>
  <c r="AN11" i="3" s="1"/>
  <c r="AN9" i="3" a="1"/>
  <c r="AN9" i="3" s="1"/>
  <c r="N4" i="1" a="1"/>
  <c r="N4" i="1" s="1"/>
  <c r="N5" i="1" a="1"/>
  <c r="N5" i="1" s="1"/>
  <c r="N6" i="1" a="1"/>
  <c r="N6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8" i="1" a="1"/>
  <c r="N18" i="1" s="1"/>
  <c r="N19" i="1" a="1"/>
  <c r="N19" i="1" s="1"/>
  <c r="N20" i="1" a="1"/>
  <c r="N20" i="1" s="1"/>
  <c r="N21" i="1" a="1"/>
  <c r="N21" i="1" s="1"/>
  <c r="N22" i="1" a="1"/>
  <c r="N22" i="1" s="1"/>
  <c r="N23" i="1" a="1"/>
  <c r="N23" i="1" s="1"/>
  <c r="N24" i="1" a="1"/>
  <c r="N24" i="1" s="1"/>
  <c r="N25" i="1" a="1"/>
  <c r="N25" i="1" s="1"/>
  <c r="D11" i="2"/>
  <c r="E11" i="2"/>
  <c r="H11" i="2"/>
  <c r="M11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J4" i="1" a="1"/>
  <c r="J4" i="1" s="1"/>
  <c r="J5" i="1" a="1"/>
  <c r="J5" i="1" s="1"/>
  <c r="J6" i="1" a="1"/>
  <c r="J6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K4" i="1" a="1"/>
  <c r="K4" i="1" s="1"/>
  <c r="K5" i="1" a="1"/>
  <c r="K5" i="1" s="1"/>
  <c r="K6" i="1" a="1"/>
  <c r="K6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AN13" i="3" a="1"/>
  <c r="AN13" i="3" s="1"/>
  <c r="AN20" i="3" a="1"/>
  <c r="AN20" i="3" s="1"/>
  <c r="AN10" i="3" a="1"/>
  <c r="AN10" i="3" s="1"/>
  <c r="AN12" i="3" a="1"/>
  <c r="AN12" i="3" s="1"/>
  <c r="AN15" i="3" a="1"/>
  <c r="AN15" i="3" s="1"/>
  <c r="AN14" i="3" a="1"/>
  <c r="AN14" i="3" s="1"/>
  <c r="AQ8" i="3" a="1"/>
  <c r="AQ8" i="3" s="1"/>
  <c r="M9" i="2"/>
  <c r="M10" i="2"/>
  <c r="H9" i="2"/>
  <c r="H10" i="2"/>
  <c r="D10" i="2"/>
  <c r="E10" i="2"/>
  <c r="E9" i="2"/>
  <c r="D9" i="2"/>
  <c r="B4" i="2" l="1"/>
  <c r="C2" i="3" a="1"/>
  <c r="C2" i="3" s="1"/>
  <c r="AO8" i="3" a="1"/>
  <c r="AO8" i="3" s="1"/>
  <c r="AP8" i="3" s="1" a="1"/>
  <c r="AP8" i="3" s="1"/>
  <c r="AO16" i="3" a="1"/>
  <c r="AO16" i="3" s="1"/>
  <c r="AP16" i="3" s="1" a="1"/>
  <c r="AP16" i="3" s="1"/>
  <c r="AO19" i="3" a="1"/>
  <c r="AO19" i="3" s="1"/>
  <c r="AP19" i="3" s="1" a="1"/>
  <c r="AP19" i="3" s="1"/>
  <c r="AO22" i="3" a="1"/>
  <c r="AO22" i="3" s="1"/>
  <c r="AP22" i="3" s="1" a="1"/>
  <c r="AP22" i="3" s="1"/>
  <c r="AO25" i="3" a="1"/>
  <c r="AO25" i="3" s="1"/>
  <c r="AP25" i="3" s="1" a="1"/>
  <c r="AP25" i="3" s="1"/>
  <c r="AO21" i="3" a="1"/>
  <c r="AO21" i="3" s="1"/>
  <c r="AP21" i="3" s="1" a="1"/>
  <c r="AP21" i="3" s="1"/>
  <c r="AO13" i="3" a="1"/>
  <c r="AO13" i="3" s="1"/>
  <c r="AP13" i="3" s="1" a="1"/>
  <c r="AP13" i="3" s="1"/>
  <c r="AO20" i="3" a="1"/>
  <c r="AO20" i="3" s="1"/>
  <c r="AP20" i="3" s="1" a="1"/>
  <c r="AP20" i="3" s="1"/>
  <c r="AE17" i="1" s="1" a="1"/>
  <c r="AO10" i="3" a="1"/>
  <c r="AO10" i="3" s="1"/>
  <c r="AP10" i="3" s="1" a="1"/>
  <c r="AP10" i="3" s="1"/>
  <c r="AO12" i="3" a="1"/>
  <c r="AO12" i="3" s="1"/>
  <c r="AP12" i="3" s="1" a="1"/>
  <c r="AP12" i="3" s="1"/>
  <c r="AO15" i="3" a="1"/>
  <c r="AO15" i="3" s="1"/>
  <c r="AP15" i="3" s="1" a="1"/>
  <c r="AP15" i="3" s="1"/>
  <c r="AO14" i="3" a="1"/>
  <c r="AO14" i="3" s="1"/>
  <c r="AP14" i="3" s="1" a="1"/>
  <c r="AP14" i="3" s="1"/>
  <c r="AO23" i="3" a="1"/>
  <c r="AO23" i="3" s="1"/>
  <c r="AP23" i="3" s="1" a="1"/>
  <c r="AP23" i="3" s="1"/>
  <c r="AO9" i="3" a="1"/>
  <c r="AO9" i="3" s="1"/>
  <c r="AP9" i="3" s="1" a="1"/>
  <c r="AP9" i="3" s="1"/>
  <c r="AO11" i="3" a="1"/>
  <c r="AO11" i="3" s="1"/>
  <c r="AP11" i="3" s="1" a="1"/>
  <c r="AP11" i="3" s="1"/>
  <c r="AO17" i="3" a="1"/>
  <c r="AO17" i="3" s="1"/>
  <c r="AP17" i="3" s="1" a="1"/>
  <c r="AP17" i="3" s="1"/>
  <c r="AO18" i="3" a="1"/>
  <c r="AO18" i="3" s="1"/>
  <c r="AP18" i="3" s="1" a="1"/>
  <c r="AP18" i="3" s="1"/>
  <c r="AO24" i="3" a="1"/>
  <c r="AO24" i="3" s="1"/>
  <c r="AP24" i="3" s="1" a="1"/>
  <c r="AP24" i="3" s="1"/>
  <c r="AO26" i="3" a="1"/>
  <c r="AO26" i="3" s="1"/>
  <c r="AP26" i="3" s="1" a="1"/>
  <c r="AP26" i="3" s="1"/>
  <c r="K7" i="1" a="1"/>
  <c r="K7" i="1" s="1"/>
  <c r="D7" i="1" a="1"/>
  <c r="D7" i="1" s="1"/>
  <c r="E7" i="1" a="1"/>
  <c r="E7" i="1" s="1"/>
  <c r="F7" i="1" a="1"/>
  <c r="F7" i="1" s="1"/>
  <c r="G7" i="1" a="1"/>
  <c r="G7" i="1" s="1"/>
  <c r="I7" i="1" a="1"/>
  <c r="I7" i="1" s="1"/>
  <c r="J7" i="1" a="1"/>
  <c r="J7" i="1" s="1"/>
  <c r="L7" i="1" a="1"/>
  <c r="L7" i="1" s="1"/>
  <c r="M7" i="1" a="1"/>
  <c r="M7" i="1" s="1"/>
  <c r="O7" i="1" a="1"/>
  <c r="O7" i="1" s="1"/>
  <c r="P7" i="1" a="1"/>
  <c r="P7" i="1" s="1"/>
  <c r="Q7" i="1" a="1"/>
  <c r="Q7" i="1" s="1"/>
  <c r="R7" i="1" a="1"/>
  <c r="R7" i="1" s="1"/>
  <c r="S7" i="1" a="1"/>
  <c r="S7" i="1" s="1"/>
  <c r="T7" i="1" a="1"/>
  <c r="T7" i="1" s="1"/>
  <c r="U7" i="1" a="1"/>
  <c r="U7" i="1" s="1"/>
  <c r="V7" i="1" a="1"/>
  <c r="V7" i="1" s="1"/>
  <c r="W7" i="1" a="1"/>
  <c r="W7" i="1" s="1"/>
  <c r="X7" i="1" a="1"/>
  <c r="X7" i="1" s="1"/>
  <c r="Y7" i="1" a="1"/>
  <c r="Y7" i="1" s="1"/>
  <c r="Z7" i="1" a="1"/>
  <c r="Z7" i="1" s="1"/>
  <c r="AA7" i="1" a="1"/>
  <c r="AA7" i="1" s="1"/>
  <c r="AB7" i="1" a="1"/>
  <c r="AB7" i="1" s="1"/>
  <c r="H7" i="1" a="1"/>
  <c r="H7" i="1" s="1"/>
  <c r="N7" i="1" a="1"/>
  <c r="N7" i="1" s="1"/>
  <c r="F17" i="1" a="1"/>
  <c r="F17" i="1" s="1"/>
  <c r="Q17" i="1" a="1"/>
  <c r="Q17" i="1" s="1"/>
  <c r="U17" i="1" a="1"/>
  <c r="U17" i="1" s="1"/>
  <c r="Z17" i="1" a="1"/>
  <c r="Z17" i="1" s="1"/>
  <c r="AI18" i="1" a="1"/>
  <c r="AI18" i="1" s="1"/>
  <c r="G17" i="1" a="1"/>
  <c r="G17" i="1" s="1"/>
  <c r="P17" i="1" a="1"/>
  <c r="P17" i="1" s="1"/>
  <c r="T17" i="1" a="1"/>
  <c r="T17" i="1" s="1"/>
  <c r="X17" i="1" a="1"/>
  <c r="X17" i="1" s="1"/>
  <c r="AA17" i="1" a="1"/>
  <c r="AA17" i="1" s="1"/>
  <c r="J17" i="1" a="1"/>
  <c r="J17" i="1" s="1"/>
  <c r="E17" i="1" a="1"/>
  <c r="E17" i="1" s="1"/>
  <c r="O17" i="1" a="1"/>
  <c r="O17" i="1" s="1"/>
  <c r="S17" i="1" a="1"/>
  <c r="S17" i="1" s="1"/>
  <c r="W17" i="1" a="1"/>
  <c r="W17" i="1" s="1"/>
  <c r="K17" i="1" a="1"/>
  <c r="K17" i="1" s="1"/>
  <c r="D17" i="1" a="1"/>
  <c r="D17" i="1" s="1"/>
  <c r="I17" i="1" a="1"/>
  <c r="I17" i="1" s="1"/>
  <c r="R17" i="1" a="1"/>
  <c r="R17" i="1" s="1"/>
  <c r="V17" i="1" a="1"/>
  <c r="V17" i="1" s="1"/>
  <c r="Y17" i="1" a="1"/>
  <c r="Y17" i="1" s="1"/>
  <c r="AB17" i="1" a="1"/>
  <c r="AB17" i="1" s="1"/>
  <c r="H17" i="1" a="1"/>
  <c r="H17" i="1" s="1"/>
  <c r="N17" i="1" a="1"/>
  <c r="N17" i="1" s="1"/>
  <c r="L17" i="1" a="1"/>
  <c r="L17" i="1" s="1"/>
  <c r="M17" i="1" a="1"/>
  <c r="M17" i="1" s="1"/>
  <c r="K8" i="1" a="1"/>
  <c r="K8" i="1" s="1"/>
  <c r="J8" i="1" a="1"/>
  <c r="J8" i="1" s="1"/>
  <c r="N8" i="1" a="1"/>
  <c r="N8" i="1" s="1"/>
  <c r="C4" i="3" l="1" a="1"/>
  <c r="C4" i="3" s="1"/>
  <c r="AE17" i="1"/>
  <c r="L28" i="1"/>
  <c r="L31" i="1"/>
  <c r="L30" i="1"/>
  <c r="L29" i="1"/>
  <c r="N41" i="1"/>
  <c r="N40" i="1"/>
  <c r="N39" i="1"/>
  <c r="N3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<sst xmlns="http://schemas.openxmlformats.org/spreadsheetml/2006/main" count="496" uniqueCount="257">
  <si>
    <t>Metallic</t>
  </si>
  <si>
    <t>Carbonic</t>
  </si>
  <si>
    <t>Oxide</t>
  </si>
  <si>
    <t>Vulcanis</t>
  </si>
  <si>
    <t>Fulgora</t>
  </si>
  <si>
    <t>Gleba</t>
  </si>
  <si>
    <t>Aquilo</t>
  </si>
  <si>
    <t>Dormant Pentapod Egg</t>
  </si>
  <si>
    <t>(tbd) ammonia</t>
  </si>
  <si>
    <t>(tbd) flourine</t>
  </si>
  <si>
    <t>(tbd) lithium</t>
  </si>
  <si>
    <t>Promethium</t>
  </si>
  <si>
    <t>(tbd) promethium</t>
  </si>
  <si>
    <t>x</t>
  </si>
  <si>
    <t>Oil Thing</t>
  </si>
  <si>
    <t>Carbonic, Adv</t>
  </si>
  <si>
    <t>Metallic, Adv</t>
  </si>
  <si>
    <t>Oxide, Adv</t>
  </si>
  <si>
    <t>x?</t>
  </si>
  <si>
    <t>Holmium Solution</t>
  </si>
  <si>
    <t>Crude?, Adv</t>
  </si>
  <si>
    <t>Gleba, Adv</t>
  </si>
  <si>
    <t>Aquilo, Adv</t>
  </si>
  <si>
    <t>Recipe</t>
  </si>
  <si>
    <t>Nauvis, Special</t>
  </si>
  <si>
    <t>Vulcanus, Special</t>
  </si>
  <si>
    <t>Fulgora, Special</t>
  </si>
  <si>
    <t>Gleba, Special</t>
  </si>
  <si>
    <t>Aquilo, Special</t>
  </si>
  <si>
    <t>type</t>
  </si>
  <si>
    <t>name</t>
  </si>
  <si>
    <t>subgroup</t>
  </si>
  <si>
    <t>order</t>
  </si>
  <si>
    <t>icon</t>
  </si>
  <si>
    <t>stack_size</t>
  </si>
  <si>
    <t>"f"</t>
  </si>
  <si>
    <t>"n"</t>
  </si>
  <si>
    <t>{mining_time = 0.2, result = "nauvis_asteroid_chunk_item"}</t>
  </si>
  <si>
    <t>{mining_time = 0.2, result = "crude_asteroid_chunk_item"}</t>
  </si>
  <si>
    <t>enabled</t>
  </si>
  <si>
    <t>false</t>
  </si>
  <si>
    <t>{ { type = "item", name = "nauvis_asteroid_chunk_item", amount = 1 } }</t>
  </si>
  <si>
    <t>Basic Nauvis Crushing</t>
  </si>
  <si>
    <t>?</t>
  </si>
  <si>
    <t>Results 1</t>
  </si>
  <si>
    <t>Results 2</t>
  </si>
  <si>
    <t>Results 3</t>
  </si>
  <si>
    <t>Results 4</t>
  </si>
  <si>
    <t>Adv Nauvis Crushing</t>
  </si>
  <si>
    <t>{ type = "item", name = "stone", amount_min = 4, amount_max = 8 }</t>
  </si>
  <si>
    <t>{ type = "item", name = "uranium-ore", amount_min = 0, amount_max = 4, probability = 0.25}</t>
  </si>
  <si>
    <t>Crude Asteroid Crushing</t>
  </si>
  <si>
    <t>Basic Vulcanic Crushing</t>
  </si>
  <si>
    <t>Basic Fulgoran Crushing</t>
  </si>
  <si>
    <t>Basic Gleba Crushing</t>
  </si>
  <si>
    <t>Unwritten?</t>
  </si>
  <si>
    <t>nauvis_asteroid_chunk_item</t>
  </si>
  <si>
    <t>crude_asteroid_chunk_item</t>
  </si>
  <si>
    <t>gleba_asteroid_chunk_item</t>
  </si>
  <si>
    <t>energy_required</t>
  </si>
  <si>
    <t>Ingredient 1</t>
  </si>
  <si>
    <t>Ingredient 2</t>
  </si>
  <si>
    <t>metallic-astroid-chunk</t>
  </si>
  <si>
    <t>Ingredient String</t>
  </si>
  <si>
    <t>Ingredient 1 Amount</t>
  </si>
  <si>
    <t>Ingredient 2 Amount</t>
  </si>
  <si>
    <t xml:space="preserve">=FILTER(Table7[[Results 1]:[Results 4]], Table7[Recipe] = </t>
  </si>
  <si>
    <t>uranium-ore</t>
  </si>
  <si>
    <t>stone</t>
  </si>
  <si>
    <t>iron-ore</t>
  </si>
  <si>
    <t>copper-ore</t>
  </si>
  <si>
    <t>carbon</t>
  </si>
  <si>
    <t>sulfur</t>
  </si>
  <si>
    <t>ice</t>
  </si>
  <si>
    <t>calcite</t>
  </si>
  <si>
    <t>coal</t>
  </si>
  <si>
    <t>uranium-238</t>
  </si>
  <si>
    <t>uranium-235</t>
  </si>
  <si>
    <t>tungsten-ore</t>
  </si>
  <si>
    <t>lava</t>
  </si>
  <si>
    <t>scrap</t>
  </si>
  <si>
    <t>yumako-seed</t>
  </si>
  <si>
    <t>jellynut-seed</t>
  </si>
  <si>
    <t>spoilage</t>
  </si>
  <si>
    <t>solid-fuel</t>
  </si>
  <si>
    <t>{mining_time = 0.2, result = "volcanic_asteroid_chunk_item"}</t>
  </si>
  <si>
    <t>"v"</t>
  </si>
  <si>
    <t>Result_1_amt_min</t>
  </si>
  <si>
    <t>Result_2_amt_min</t>
  </si>
  <si>
    <t>Result_3_amt_min</t>
  </si>
  <si>
    <t>Result_4_amt_min</t>
  </si>
  <si>
    <t>Result_1_amt_max</t>
  </si>
  <si>
    <t>Result_2_amt_max</t>
  </si>
  <si>
    <t>Result_3_amt_max</t>
  </si>
  <si>
    <t>Result_4_amt_max</t>
  </si>
  <si>
    <t>Result_1_P</t>
  </si>
  <si>
    <t>Result_2_P</t>
  </si>
  <si>
    <t>Result_3_P</t>
  </si>
  <si>
    <t>Result_4_P</t>
  </si>
  <si>
    <t>Result_1_name</t>
  </si>
  <si>
    <t>Result_2_name</t>
  </si>
  <si>
    <t>Result_3_name</t>
  </si>
  <si>
    <t>Result_4_name</t>
  </si>
  <si>
    <t>Carbonic asteroid crushing</t>
  </si>
  <si>
    <t>Metallic asteroid crushing</t>
  </si>
  <si>
    <t>Oxide asteroid crushing</t>
  </si>
  <si>
    <t>Advanced metallic asteroid crushing</t>
  </si>
  <si>
    <t>Advanced carbonic asteroid crushing</t>
  </si>
  <si>
    <t>Advanced oxide asteroid crushing</t>
  </si>
  <si>
    <t>"metallic-asteroid-crushing"</t>
  </si>
  <si>
    <t>"carbonic-asteroid-crushing"</t>
  </si>
  <si>
    <t>"oxide-asteroid-crushing"</t>
  </si>
  <si>
    <t>"advanced-metallic-asteroid-crushing"</t>
  </si>
  <si>
    <t>"advanced-carbonic-asteroid-crushing"</t>
  </si>
  <si>
    <t>"advanced-oxide-asteroid-crushing"</t>
  </si>
  <si>
    <t>"__space-age__\graphics\icons\advanced-metallic-asteroid-crushing.png"</t>
  </si>
  <si>
    <t>"__space-age__\graphics\icons\advanced-carbonic-asteroid-crushing.png"</t>
  </si>
  <si>
    <t>"__space-age__\graphics\icons\advanced-oxide-asteroid-crushing.png"</t>
  </si>
  <si>
    <t>"__space-age__\graphics\icons\carbonic-asteroid-crushing.png"</t>
  </si>
  <si>
    <t>"__space-age__\graphics\icons\metallic-asteroid-crushing.png"</t>
  </si>
  <si>
    <t>"__space-age__\graphics\icons\oxide-asteroid-crushing.png"</t>
  </si>
  <si>
    <t>carbonic-asteroid-chunk</t>
  </si>
  <si>
    <t>oxide-asteroid-chunk</t>
  </si>
  <si>
    <t>metallic-asteroid-chunk</t>
  </si>
  <si>
    <t>}</t>
  </si>
  <si>
    <t>amount</t>
  </si>
  <si>
    <t>{name="space-platform-foundation"</t>
  </si>
  <si>
    <t>type="item"</t>
  </si>
  <si>
    <t>amount = 500}</t>
  </si>
  <si>
    <t>{name="solar-panel"</t>
  </si>
  <si>
    <t>amount = 20}</t>
  </si>
  <si>
    <t>{name="astra-simple-crusher"</t>
  </si>
  <si>
    <t>amount = 4}</t>
  </si>
  <si>
    <t>{name="astra-simple-asteroid-collector"</t>
  </si>
  <si>
    <t>amount = 6}</t>
  </si>
  <si>
    <t>{name="inserter"</t>
  </si>
  <si>
    <t>{name="electric-furnace"</t>
  </si>
  <si>
    <t>amount = 8}</t>
  </si>
  <si>
    <t>{name="assembling-machine-1"</t>
  </si>
  <si>
    <t>amount = 2}</t>
  </si>
  <si>
    <t>{name="iron-plate"</t>
  </si>
  <si>
    <t>amount = 50}</t>
  </si>
  <si>
    <t>{name="efficiency-module-2"</t>
  </si>
  <si>
    <t>{name="transport-belt"</t>
  </si>
  <si>
    <t>amount = 40}</t>
  </si>
  <si>
    <t>remnant.initial_items = {</t>
  </si>
  <si>
    <t>"space-platform-foundation"</t>
  </si>
  <si>
    <t>"solar-panel"</t>
  </si>
  <si>
    <t>"astra-simple-crusher"</t>
  </si>
  <si>
    <t>"astra-simple-asteroid-collector"</t>
  </si>
  <si>
    <t>"inserter"</t>
  </si>
  <si>
    <t>"electric-furnace"</t>
  </si>
  <si>
    <t>"assembling-machine-1"</t>
  </si>
  <si>
    <t>"iron-plate"</t>
  </si>
  <si>
    <t>"efficiency-module-2"</t>
  </si>
  <si>
    <t>"transport-belt"</t>
  </si>
  <si>
    <t>line items</t>
  </si>
  <si>
    <t>Result_1_type</t>
  </si>
  <si>
    <t>Result_2_type</t>
  </si>
  <si>
    <t>Result_3_type</t>
  </si>
  <si>
    <t>Result_4_type</t>
  </si>
  <si>
    <t>fluid</t>
  </si>
  <si>
    <t>item</t>
  </si>
  <si>
    <t>Adv Vulcanis Crushing</t>
  </si>
  <si>
    <t>Adv Gleba Crushing</t>
  </si>
  <si>
    <t>Adv Fulgoran Crushing</t>
  </si>
  <si>
    <t>1Special Nauvis Crushing</t>
  </si>
  <si>
    <t>1Special Fulgoran Crushing</t>
  </si>
  <si>
    <t>1Special Gleba Crushing</t>
  </si>
  <si>
    <t>1Special Vulcanic Crushing</t>
  </si>
  <si>
    <t>holmium-ore</t>
  </si>
  <si>
    <t>heavy-oil</t>
  </si>
  <si>
    <t>holmium-solution</t>
  </si>
  <si>
    <t>"crude-asteroid-chunk-crushing"</t>
  </si>
  <si>
    <t>"vulcanus-asteroid-chunk-crushing"</t>
  </si>
  <si>
    <t>"nauvis-asteroid-chunk-crushing"</t>
  </si>
  <si>
    <t>"gleba-asteroid-chunk-crushing"</t>
  </si>
  <si>
    <t>"fulgoran-asteroid-chunk-crushing"</t>
  </si>
  <si>
    <t>"nauvis-asteroid-chunk-crushing-adv"</t>
  </si>
  <si>
    <t>"gleba-asteroid-chunk-crushing-adv"</t>
  </si>
  <si>
    <t>"vulcanus-special-crushing"</t>
  </si>
  <si>
    <t>"vulcanis-asteroid-chunk-crushing-adv"</t>
  </si>
  <si>
    <t>"nauvis-special-crushing"</t>
  </si>
  <si>
    <t>"gleba-special-crushing"</t>
  </si>
  <si>
    <t>"fulgoran-special-crushing"</t>
  </si>
  <si>
    <t>"fulgoran-asteroid-chunk-crushing-adv"</t>
  </si>
  <si>
    <t>"g"</t>
  </si>
  <si>
    <t>"a"</t>
  </si>
  <si>
    <t>Results String</t>
  </si>
  <si>
    <t>{ 
    { type = "item", name = "solid-fuel", amount_min = 5, amount_max = 15, probability = 1 } 
}</t>
  </si>
  <si>
    <t>{ 
    { type = "item", name = "stone", amount_min = 4, amount_max = 6, probability = 1 }, 
    { type = "item", name = "tungsten-ore", amount_min = 1, amount_max = 2, probability = 0.15 }, 
    { type = "item", name = "vulcanic_asteroid_chunk_item", amount_min = 1, amount_max = 1, probability = 0.05 } 
}</t>
  </si>
  <si>
    <t>{ 
    { type = "item", name = "stone", amount_min = 5, amount_max = 10, probability = 1 }, 
    { type = "item", name = "uranium-ore", amount_min = 1, amount_max = 1, probability = 0.1 }, 
    { type = "item", name = "nauvis_asteroid_chunk_item", amount_min = 1, amount_max = 1, probability = 0.05 } 
}</t>
  </si>
  <si>
    <t>{ 
    { type = "item", name = "stone", amount_min = 4, amount_max = 6, probability = 1 }, 
    { type = "item", name = "scrap", amount_min = 2, amount_max = 12, probability = 1 }, 
    { type = "item", name = "fulgoran_asteroid_chunk_item", amount_min = 1, amount_max = 1, probability = 0.05 } 
}</t>
  </si>
  <si>
    <t>{ 
    { type = "item", name = "stone", amount_min = 8, amount_max = 8, probability = 1 }, 
    { type = "item", name = "tungsten-ore", amount_min = 10, amount_max = 10, probability = 1 }, 
    { type = "item", name = "vulcanic_asteroid_chunk_item", amount_min = 1, amount_max = 1, probability = 0.05 } 
}</t>
  </si>
  <si>
    <t>{ 
    { type = "item", name = "stone", amount_min = 4, amount_max = 8, probability = 1 }, 
    { type = "item", name = "uranium-ore", amount_min = 1, amount_max = 13, probability = 0.4 }, 
    { type = "item", name = "nauvis_asteroid_chunk_item", amount_min = 1, amount_max = 1, probability = 0.05 } 
}</t>
  </si>
  <si>
    <t>{ 
    { type = "item", name = "stone", amount_min = 4, amount_max = 6, probability = 1 }, 
    { type = "item", name = "scrap", amount_min = 35, amount_max = 75, probability = 1 }, 
    { type = "item", name = "holmium-ore", amount_min = 3, amount_max = 8, probability = 0.5 }, 
    { type = "item", name = "fulgoran_asteroid_chunk_item", amount_min = 1, amount_max = 1, probability = 0.05 } 
}</t>
  </si>
  <si>
    <t>{ 
    { type = "fluid", name = "lava", amount_min = 2000, amount_max = 2000, probability = 1 }, 
    { type = "item", name = "tungsten-ore", amount_min = 12, amount_max = 12, probability = 1 } 
}</t>
  </si>
  <si>
    <t>{ 
    { type = "item", name = "stone", amount_min = 5, amount_max = 5, probability = 1 }, 
    { type = "fluid", name = "heavy-oil", amount_min = 20, amount_max = 20, probability = 1 }, 
    { type = "fluid", name = "holmium-solution", amount_min = 20, amount_max = 20, probability = 1 } 
}</t>
  </si>
  <si>
    <t>Variable's Name</t>
  </si>
  <si>
    <t>crude_asteroid_chunk_crushing</t>
  </si>
  <si>
    <t>vulcanus_asteroid_chunk_crushing</t>
  </si>
  <si>
    <t>nauvis_asteroid_chunk_crushing</t>
  </si>
  <si>
    <t>fulgoran_asteroid_chunk_crushing</t>
  </si>
  <si>
    <t>vulcanis_asteroid_chunk_crushing_adv</t>
  </si>
  <si>
    <t>nauvis_asteroid_chunk_crushing_adv</t>
  </si>
  <si>
    <t>fulgoran_asteroid_chunk_crushing_adv</t>
  </si>
  <si>
    <t>vulcanus_special_crushing</t>
  </si>
  <si>
    <t>fulgoran_special_crushing</t>
  </si>
  <si>
    <t>Whole String</t>
  </si>
  <si>
    <t>crude-asteroid-chunk-item</t>
  </si>
  <si>
    <t>vulcanic-asteroid-chunk-item</t>
  </si>
  <si>
    <t>nauvis-asteroid-chunk-item</t>
  </si>
  <si>
    <t>gleba-asteroid-chunk-item</t>
  </si>
  <si>
    <t>fulgoran-asteroid-chunk-item</t>
  </si>
  <si>
    <t>carbonic-asteroid-chunk-item</t>
  </si>
  <si>
    <t>"__Astra-Asteroids__/graphics/fulgora_crushing_basic.png"</t>
  </si>
  <si>
    <t>"__Astra-Asteroids__/graphics/vulcanus_crushing_basic.png"</t>
  </si>
  <si>
    <t>"__Astra-Asteroids__/graphics/nauvis_crushing_basic.png"</t>
  </si>
  <si>
    <t>"__Astra-Asteroids__/graphics/gleba_crushing_basic.png"</t>
  </si>
  <si>
    <t>"__Astra-Asteroids__/graphics/crude_crushing_basic.png"</t>
  </si>
  <si>
    <t>"__Astra-Asteroids__/graphics/crude_asteroid_chunk.png"</t>
  </si>
  <si>
    <t>"__Astra-Asteroids__/graphics/nauvis_asteroid_chunk.png"</t>
  </si>
  <si>
    <t>"__Astra-Asteroids__/graphics/vulcanus_asteroid_chunk.png"</t>
  </si>
  <si>
    <r>
      <t>table</t>
    </r>
    <r>
      <rPr>
        <sz val="11"/>
        <color rgb="FFBBBEBF"/>
        <rFont val="Consolas"/>
        <family val="3"/>
      </rPr>
      <t>.</t>
    </r>
    <r>
      <rPr>
        <sz val="11"/>
        <color rgb="FFD2A8FF"/>
        <rFont val="Consolas"/>
        <family val="3"/>
      </rPr>
      <t>deepcopy</t>
    </r>
    <r>
      <rPr>
        <sz val="11"/>
        <color rgb="FFBBBEBF"/>
        <rFont val="Consolas"/>
        <family val="3"/>
      </rPr>
      <t>(</t>
    </r>
    <r>
      <rPr>
        <sz val="11"/>
        <color rgb="FFFFA657"/>
        <rFont val="Consolas"/>
        <family val="3"/>
      </rPr>
      <t>data</t>
    </r>
    <r>
      <rPr>
        <sz val="11"/>
        <color rgb="FFBBBEBF"/>
        <rFont val="Consolas"/>
        <family val="3"/>
      </rPr>
      <t>.</t>
    </r>
    <r>
      <rPr>
        <sz val="11"/>
        <color rgb="FF4EC9B0"/>
        <rFont val="Consolas"/>
        <family val="3"/>
      </rPr>
      <t>raw</t>
    </r>
    <r>
      <rPr>
        <sz val="11"/>
        <color rgb="FFBBBEBF"/>
        <rFont val="Consolas"/>
        <family val="3"/>
      </rPr>
      <t>[</t>
    </r>
    <r>
      <rPr>
        <sz val="11"/>
        <color rgb="FFA5D6FF"/>
        <rFont val="Consolas"/>
        <family val="3"/>
      </rPr>
      <t>"asteroid-chunk"</t>
    </r>
    <r>
      <rPr>
        <sz val="11"/>
        <color rgb="FFBBBEBF"/>
        <rFont val="Consolas"/>
        <family val="3"/>
      </rPr>
      <t>][</t>
    </r>
    <r>
      <rPr>
        <sz val="11"/>
        <color rgb="FFA5D6FF"/>
        <rFont val="Consolas"/>
        <family val="3"/>
      </rPr>
      <t>"metallic-asteroid-chunk"</t>
    </r>
    <r>
      <rPr>
        <sz val="11"/>
        <color rgb="FFBBBEBF"/>
        <rFont val="Consolas"/>
        <family val="3"/>
      </rPr>
      <t>])</t>
    </r>
  </si>
  <si>
    <r>
      <t>table</t>
    </r>
    <r>
      <rPr>
        <sz val="11"/>
        <color rgb="FFBBBEBF"/>
        <rFont val="Consolas"/>
        <family val="3"/>
      </rPr>
      <t>.</t>
    </r>
    <r>
      <rPr>
        <sz val="11"/>
        <color rgb="FFD2A8FF"/>
        <rFont val="Consolas"/>
        <family val="3"/>
      </rPr>
      <t>deepcopy</t>
    </r>
    <r>
      <rPr>
        <sz val="11"/>
        <color rgb="FFBBBEBF"/>
        <rFont val="Consolas"/>
        <family val="3"/>
      </rPr>
      <t>(</t>
    </r>
    <r>
      <rPr>
        <sz val="11"/>
        <color rgb="FFFFA657"/>
        <rFont val="Consolas"/>
        <family val="3"/>
      </rPr>
      <t>data</t>
    </r>
    <r>
      <rPr>
        <sz val="11"/>
        <color rgb="FFBBBEBF"/>
        <rFont val="Consolas"/>
        <family val="3"/>
      </rPr>
      <t>.</t>
    </r>
    <r>
      <rPr>
        <sz val="11"/>
        <color rgb="FF4EC9B0"/>
        <rFont val="Consolas"/>
        <family val="3"/>
      </rPr>
      <t>raw</t>
    </r>
    <r>
      <rPr>
        <sz val="11"/>
        <color rgb="FFBBBEBF"/>
        <rFont val="Consolas"/>
        <family val="3"/>
      </rPr>
      <t>.</t>
    </r>
    <r>
      <rPr>
        <sz val="11"/>
        <color rgb="FF4EC9B0"/>
        <rFont val="Consolas"/>
        <family val="3"/>
      </rPr>
      <t>item</t>
    </r>
    <r>
      <rPr>
        <sz val="11"/>
        <color rgb="FFBBBEBF"/>
        <rFont val="Consolas"/>
        <family val="3"/>
      </rPr>
      <t>[</t>
    </r>
    <r>
      <rPr>
        <sz val="11"/>
        <color rgb="FFA5D6FF"/>
        <rFont val="Consolas"/>
        <family val="3"/>
      </rPr>
      <t>"metallic-asteroid-chunk"</t>
    </r>
    <r>
      <rPr>
        <sz val="11"/>
        <color rgb="FFBBBEBF"/>
        <rFont val="Consolas"/>
        <family val="3"/>
      </rPr>
      <t>])</t>
    </r>
  </si>
  <si>
    <r>
      <t>table</t>
    </r>
    <r>
      <rPr>
        <sz val="11"/>
        <color rgb="FFBBBEBF"/>
        <rFont val="Consolas"/>
        <family val="3"/>
      </rPr>
      <t>.</t>
    </r>
    <r>
      <rPr>
        <sz val="11"/>
        <color rgb="FFD2A8FF"/>
        <rFont val="Consolas"/>
        <family val="3"/>
      </rPr>
      <t>deepcopy</t>
    </r>
    <r>
      <rPr>
        <sz val="11"/>
        <color rgb="FFBBBEBF"/>
        <rFont val="Consolas"/>
        <family val="3"/>
      </rPr>
      <t>(</t>
    </r>
    <r>
      <rPr>
        <sz val="11"/>
        <color rgb="FFFFA657"/>
        <rFont val="Consolas"/>
        <family val="3"/>
      </rPr>
      <t>data</t>
    </r>
    <r>
      <rPr>
        <sz val="11"/>
        <color rgb="FFBBBEBF"/>
        <rFont val="Consolas"/>
        <family val="3"/>
      </rPr>
      <t>.</t>
    </r>
    <r>
      <rPr>
        <sz val="11"/>
        <color rgb="FF4EC9B0"/>
        <rFont val="Consolas"/>
        <family val="3"/>
      </rPr>
      <t>raw</t>
    </r>
    <r>
      <rPr>
        <sz val="11"/>
        <color rgb="FFBBBEBF"/>
        <rFont val="Consolas"/>
        <family val="3"/>
      </rPr>
      <t>.</t>
    </r>
    <r>
      <rPr>
        <sz val="11"/>
        <color rgb="FF4EC9B0"/>
        <rFont val="Consolas"/>
        <family val="3"/>
      </rPr>
      <t>recipe</t>
    </r>
    <r>
      <rPr>
        <sz val="11"/>
        <color rgb="FFBBBEBF"/>
        <rFont val="Consolas"/>
        <family val="3"/>
      </rPr>
      <t>[</t>
    </r>
    <r>
      <rPr>
        <sz val="11"/>
        <color rgb="FFA5D6FF"/>
        <rFont val="Consolas"/>
        <family val="3"/>
      </rPr>
      <t>"metallic-asteroid-crushing"</t>
    </r>
    <r>
      <rPr>
        <sz val="11"/>
        <color rgb="FFBBBEBF"/>
        <rFont val="Consolas"/>
        <family val="3"/>
      </rPr>
      <t>])</t>
    </r>
  </si>
  <si>
    <r>
      <t>table</t>
    </r>
    <r>
      <rPr>
        <sz val="11"/>
        <color rgb="FFBBBEBF"/>
        <rFont val="Consolas"/>
        <family val="3"/>
      </rPr>
      <t>.</t>
    </r>
    <r>
      <rPr>
        <sz val="11"/>
        <color rgb="FFD2A8FF"/>
        <rFont val="Consolas"/>
        <family val="3"/>
      </rPr>
      <t>deepcopy</t>
    </r>
    <r>
      <rPr>
        <sz val="11"/>
        <color rgb="FFBBBEBF"/>
        <rFont val="Consolas"/>
        <family val="3"/>
      </rPr>
      <t>(</t>
    </r>
    <r>
      <rPr>
        <sz val="11"/>
        <color rgb="FFFFA657"/>
        <rFont val="Consolas"/>
        <family val="3"/>
      </rPr>
      <t>data</t>
    </r>
    <r>
      <rPr>
        <sz val="11"/>
        <color rgb="FFBBBEBF"/>
        <rFont val="Consolas"/>
        <family val="3"/>
      </rPr>
      <t>.</t>
    </r>
    <r>
      <rPr>
        <sz val="11"/>
        <color rgb="FF4EC9B0"/>
        <rFont val="Consolas"/>
        <family val="3"/>
      </rPr>
      <t>raw</t>
    </r>
    <r>
      <rPr>
        <sz val="11"/>
        <color rgb="FFBBBEBF"/>
        <rFont val="Consolas"/>
        <family val="3"/>
      </rPr>
      <t>.</t>
    </r>
    <r>
      <rPr>
        <sz val="11"/>
        <color rgb="FF4EC9B0"/>
        <rFont val="Consolas"/>
        <family val="3"/>
      </rPr>
      <t>recipe</t>
    </r>
    <r>
      <rPr>
        <sz val="11"/>
        <color rgb="FFBBBEBF"/>
        <rFont val="Consolas"/>
        <family val="3"/>
      </rPr>
      <t>[</t>
    </r>
    <r>
      <rPr>
        <sz val="11"/>
        <color rgb="FFA5D6FF"/>
        <rFont val="Consolas"/>
        <family val="3"/>
      </rPr>
      <t>"advanced-metallic-asteroid-crushing"</t>
    </r>
    <r>
      <rPr>
        <sz val="11"/>
        <color rgb="FFBBBEBF"/>
        <rFont val="Consolas"/>
        <family val="3"/>
      </rPr>
      <t>])</t>
    </r>
  </si>
  <si>
    <t>gleba_special_crushing</t>
  </si>
  <si>
    <t>nauvis_special_crushing</t>
  </si>
  <si>
    <t>gleba_asteroid_chunk_crushing_adv</t>
  </si>
  <si>
    <t>gleba_asteroid_chunk_crushing</t>
  </si>
  <si>
    <t>Advanced?</t>
  </si>
  <si>
    <t>initialize</t>
  </si>
  <si>
    <t>recipe settings</t>
  </si>
  <si>
    <t>"gleba-asteroid-chunk-item"</t>
  </si>
  <si>
    <t>"fulgoran-asteroid-chunk-item"</t>
  </si>
  <si>
    <t>"crude-asteroid-chunk-item"</t>
  </si>
  <si>
    <t>"nauvis-asteroid-chunk-item"</t>
  </si>
  <si>
    <t>"vulcanic-asteroid-chunk-item"</t>
  </si>
  <si>
    <t>"crude-asteroid-chunk"</t>
  </si>
  <si>
    <t>"nauvis-asteroid-chunk"</t>
  </si>
  <si>
    <t>"vulcanic-asteroid-chunk"</t>
  </si>
  <si>
    <t>"gleba-asteroid-chunk"</t>
  </si>
  <si>
    <t>"fulgoran-asteroid-chunk"</t>
  </si>
  <si>
    <t>crude_asteroid_chunk</t>
  </si>
  <si>
    <t>nauvis_asteroid_chunk</t>
  </si>
  <si>
    <t>gleba_asteroid_chunk</t>
  </si>
  <si>
    <t>"__Astra-Asteroids__/graphics/gleba_asteroid_chunk.png"</t>
  </si>
  <si>
    <t>"__Astra-Asteroids__/graphics/fulgoran_asteroid_chunk.png"</t>
  </si>
  <si>
    <t>{mining_time = 0.2, result = "gleba-asteroid-chunk-item"}</t>
  </si>
  <si>
    <t>{mining_time = 0.2, result = "fulgoran-asteroid-chunk-item"}</t>
  </si>
  <si>
    <t>vulcanus_asteroid_chunk_item</t>
  </si>
  <si>
    <t>fulgora_asteroid_chunk_item</t>
  </si>
  <si>
    <t>vulcanus_asteroid_chunk</t>
  </si>
  <si>
    <t>fulgora_asteroid_chunk</t>
  </si>
  <si>
    <t>full string</t>
  </si>
  <si>
    <t>minable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</si>
</sst>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569CD6"/>
      <name val="Consolas"/>
      <family val="3"/>
    </font>
    <font>
      <sz val="11"/>
      <color rgb="FF9CDCFE"/>
      <name val="Consolas"/>
      <family val="3"/>
    </font>
    <font>
      <sz val="11"/>
      <name val="Aptos Narrow"/>
      <family val="2"/>
      <scheme val="minor"/>
    </font>
    <font>
      <sz val="11"/>
      <name val="Consolas"/>
      <family val="3"/>
    </font>
    <font>
      <sz val="11"/>
      <color rgb="FFFF0000"/>
      <name val="Aptos Narrow"/>
      <family val="2"/>
      <scheme val="minor"/>
    </font>
    <font>
      <sz val="11"/>
      <color rgb="FFBBBEBF"/>
      <name val="Consolas"/>
      <family val="3"/>
    </font>
    <font>
      <sz val="11"/>
      <color rgb="FF79C0FF"/>
      <name val="Consolas"/>
      <family val="3"/>
    </font>
    <font>
      <sz val="11"/>
      <color rgb="FFD2A8FF"/>
      <name val="Consolas"/>
      <family val="3"/>
    </font>
    <font>
      <sz val="11"/>
      <color rgb="FFFFA657"/>
      <name val="Consolas"/>
      <family val="3"/>
    </font>
    <font>
      <sz val="11"/>
      <color rgb="FF4EC9B0"/>
      <name val="Consolas"/>
      <family val="3"/>
    </font>
    <font>
      <sz val="11"/>
      <color rgb="FFA5D6FF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quotePrefix="1"/>
    <xf numFmtId="0" fontId="0" fillId="0" borderId="0" xfId="0" applyAlignment="1">
      <alignment horizontal="center" shrinkToFit="1"/>
    </xf>
    <xf numFmtId="0" fontId="0" fillId="0" borderId="0" xfId="0" applyAlignment="1">
      <alignment horizontal="center" wrapText="1" shrinkToFit="1"/>
    </xf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0" xfId="0" applyNumberFormat="1"/>
    <xf numFmtId="0" fontId="0" fillId="2" borderId="1" xfId="0" applyFill="1" applyBorder="1" applyAlignment="1">
      <alignment horizontal="left" wrapText="1"/>
    </xf>
    <xf numFmtId="0" fontId="9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78">
    <dxf>
      <numFmt numFmtId="0" formatCode="General"/>
    </dxf>
    <dxf>
      <numFmt numFmtId="0" formatCode="General"/>
    </dxf>
    <dxf>
      <font>
        <b val="0"/>
        <i/>
        <color theme="1" tint="0.34998626667073579"/>
      </font>
    </dxf>
    <dxf>
      <fill>
        <patternFill patternType="lightDown">
          <fgColor rgb="FFFF99FF"/>
        </patternFill>
      </fill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0" formatCode="General"/>
      <alignment vertical="bottom" textRotation="0" wrapText="1" indent="0" justifyLastLine="0" shrinkToFit="0" readingOrder="0"/>
    </dxf>
    <dxf>
      <numFmt numFmtId="0" formatCode="General"/>
      <alignment vertical="bottom" textRotation="0" wrapText="1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1" readingOrder="0"/>
    </dxf>
    <dxf>
      <numFmt numFmtId="0" formatCode="General"/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1" readingOrder="0"/>
    </dxf>
    <dxf>
      <numFmt numFmtId="0" formatCode="General"/>
      <alignment horizontal="center" vertical="bottom" textRotation="0" wrapText="0" indent="0" justifyLastLine="0" shrinkToFit="1" readingOrder="0"/>
    </dxf>
    <dxf>
      <numFmt numFmtId="0" formatCode="General"/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1" readingOrder="0"/>
    </dxf>
    <dxf>
      <alignment horizontal="center" vertical="bottom" textRotation="0" wrapText="0" indent="0" justifyLastLine="0" shrinkToFit="1" readingOrder="0"/>
    </dxf>
    <dxf>
      <numFmt numFmtId="0" formatCode="General"/>
      <alignment horizontal="center" textRotation="0" indent="0" justifyLastLine="0" shrinkToFit="0" readingOrder="0"/>
    </dxf>
    <dxf>
      <alignment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0BFF85-5E25-44F5-989C-05E81AFBA27C}" name="Table4" displayName="Table4" ref="B3:AB25" totalsRowShown="0" headerRowDxfId="47">
  <autoFilter ref="B3:AB25" xr:uid="{9A0BFF85-5E25-44F5-989C-05E81AFBA27C}"/>
  <tableColumns count="27">
    <tableColumn id="1" xr3:uid="{B1A354A2-D591-4F7C-89E1-AB75527E5993}" name="Recipe"/>
    <tableColumn id="27" xr3:uid="{1411294A-B7C7-4726-B55B-8DABEE6ED457}" name="energy_required" dataDxfId="46">
      <calculatedColumnFormula>INDEX(Table7[energy_required], MATCH(Table4[[#This Row],[Recipe]], Table7[Recipe], 0))</calculatedColumnFormula>
    </tableColumn>
    <tableColumn id="2" xr3:uid="{7F80CA45-0C9C-4D9D-A37C-6DF3AD5E0BEB}" name="iron-ore" dataDxfId="45"/>
    <tableColumn id="3" xr3:uid="{AC60A2AA-9D82-482D-A597-78045793B05D}" name="copper-ore" dataDxfId="44"/>
    <tableColumn id="4" xr3:uid="{5029DD94-2977-4B99-94DB-19EA67D75D22}" name="carbon" dataDxfId="43"/>
    <tableColumn id="5" xr3:uid="{52F010C3-27DB-43E9-A9D6-11A1C5DB092F}" name="sulfur" dataDxfId="42"/>
    <tableColumn id="6" xr3:uid="{F06F185C-FC3F-465E-B9E4-758205B9F0F4}" name="ice" dataDxfId="41"/>
    <tableColumn id="7" xr3:uid="{1554F3DE-DB8B-471F-922A-8D30297584F3}" name="calcite" dataDxfId="40"/>
    <tableColumn id="8" xr3:uid="{E7F322CB-036A-403C-8BF8-6B20B8C6CCD1}" name="Oil Thing" dataDxfId="39">
      <calculatedColumnFormula array="1">_xlfn.LET(_xlpm.recipeResults, _xlfn._xlws.FILTER(Table7[[Results 1]:[Results 4]], Table7[Recipe] = Table4[[#This Row],[Recipe]]),
     IFERROR(
     _xlfn._xlws.FILTER(_xlpm.recipeResults, ISNUMBER(SEARCH(J$3, _xlpm.recipeResults))), " - ") )</calculatedColumnFormula>
    </tableColumn>
    <tableColumn id="26" xr3:uid="{C4622E41-2D57-42C3-A31B-EF19C158ACB5}" name="solid-fuel" dataDxfId="38">
      <calculatedColumnFormula array="1">_xlfn.LET(_xlpm.recipeResults, _xlfn._xlws.FILTER(Table7[[Results 1]:[Results 4]], Table7[Recipe] = Table4[[#This Row],[Recipe]]),
     IFERROR(
     _xlfn._xlws.FILTER(_xlpm.recipeResults, ISNUMBER(SEARCH(K$3, _xlpm.recipeResults))), " - ") )</calculatedColumnFormula>
    </tableColumn>
    <tableColumn id="9" xr3:uid="{F529E26B-0253-4C02-95D8-95DB987CD83E}" name="coal" dataDxfId="37"/>
    <tableColumn id="10" xr3:uid="{D18F88A9-729A-4165-BA55-675D11D2231A}" name="stone" dataDxfId="36"/>
    <tableColumn id="11" xr3:uid="{57DAEF24-F8A7-492C-9706-2674BFBB49E1}" name="uranium-ore" dataDxfId="35">
      <calculatedColumnFormula array="1">_xlfn.LET(_xlpm.recipeResults, _xlfn._xlws.FILTER(Table7[[Results 1]:[Results 4]], Table7[Recipe] = Table4[[#This Row],[Recipe]]),
     IFERROR(
     _xlfn._xlws.FILTER(_xlpm.recipeResults, ISNUMBER(SEARCH(N$3, _xlpm.recipeResults))), " - ") )</calculatedColumnFormula>
    </tableColumn>
    <tableColumn id="23" xr3:uid="{688FF19F-43DB-4F57-B5C7-CB20C171B5A5}" name="uranium-238" dataDxfId="34"/>
    <tableColumn id="24" xr3:uid="{8B59E641-D762-475E-BE04-0AD557DA2633}" name="uranium-235" dataDxfId="33"/>
    <tableColumn id="12" xr3:uid="{49325880-AB22-406C-9EBF-F9714278E54F}" name="tungsten-ore" dataDxfId="32"/>
    <tableColumn id="25" xr3:uid="{4B574229-0587-4E11-816D-60F689340097}" name="lava" dataDxfId="31"/>
    <tableColumn id="13" xr3:uid="{876F7B27-7476-478B-9F55-220BB73A33D4}" name="scrap" dataDxfId="30"/>
    <tableColumn id="14" xr3:uid="{1D9F494D-4B80-42A5-85C3-6484CB3803F7}" name="yumako-seed" dataDxfId="29"/>
    <tableColumn id="15" xr3:uid="{CC0EBC6A-4432-4CBA-A41B-E7B6031BD83F}" name="jellynut-seed" dataDxfId="28"/>
    <tableColumn id="16" xr3:uid="{2B7FB235-2E10-4FA1-BC7C-964E7947466A}" name="spoilage" dataDxfId="27"/>
    <tableColumn id="17" xr3:uid="{CEE0F52B-14B0-48FB-AD2F-A1A1A9DACF76}" name="Dormant Pentapod Egg" dataDxfId="26"/>
    <tableColumn id="18" xr3:uid="{F34385CF-1935-4968-8261-48F21ADB2D44}" name="(tbd) ammonia" dataDxfId="25"/>
    <tableColumn id="19" xr3:uid="{405DEB99-0752-4FA5-BCC3-09F744698489}" name="(tbd) flourine" dataDxfId="24"/>
    <tableColumn id="20" xr3:uid="{ADD7E20E-3FB5-4185-8AD9-7781DF09236F}" name="(tbd) lithium" dataDxfId="23"/>
    <tableColumn id="21" xr3:uid="{82818854-DC1B-485E-9809-F8B0261BEDE0}" name="(tbd) promethium" dataDxfId="22"/>
    <tableColumn id="22" xr3:uid="{5634330F-FEBB-4799-90EC-922642138192}" name="Holmium Solution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716056-6DAF-4F3B-B82E-A4E69F0450D7}" name="Chunk_Items" displayName="Chunk_Items" ref="B8:I13" totalsRowShown="0">
  <autoFilter ref="B8:I13" xr:uid="{50716056-6DAF-4F3B-B82E-A4E69F0450D7}"/>
  <sortState xmlns:xlrd2="http://schemas.microsoft.com/office/spreadsheetml/2017/richdata2" ref="B9:H13">
    <sortCondition ref="B8:B13"/>
  </sortState>
  <tableColumns count="8">
    <tableColumn id="1" xr3:uid="{EFD8865D-C9ED-4BA8-B73C-113EDAD68DA5}" name="Variable's Name"/>
    <tableColumn id="3" xr3:uid="{1A67492A-77CF-48AB-9609-594DA5CCF328}" name="name"/>
    <tableColumn id="2" xr3:uid="{587148E6-4B98-4DD4-8691-6E43006C9E89}" name="type" dataDxfId="20">
      <calculatedColumnFormula>"""item"""</calculatedColumnFormula>
    </tableColumn>
    <tableColumn id="4" xr3:uid="{4C2D2AEB-4928-4F13-91B0-2184B98F54BD}" name="subgroup" dataDxfId="19">
      <calculatedColumnFormula>"""space-material"""</calculatedColumnFormula>
    </tableColumn>
    <tableColumn id="5" xr3:uid="{A45CDEC7-39DE-4333-8E31-011D04DA2762}" name="order"/>
    <tableColumn id="6" xr3:uid="{499C643B-C1ED-4A32-BE42-9946CC52BC6E}" name="icon"/>
    <tableColumn id="7" xr3:uid="{834AC55A-1278-424D-94B7-2EDF700340B6}" name="stack_size" dataDxfId="18">
      <calculatedColumnFormula>1</calculatedColumnFormula>
    </tableColumn>
    <tableColumn id="8" xr3:uid="{9145470B-0772-4705-8B45-24698F613F56}" name="full string" dataDxfId="1">
      <calculatedColumnFormula array="1">_xlfn.TEXTJOIN("
", TRUE, Chunk_Items[[#This Row],[Variable''s Name]] &amp; "." &amp; Chunk_Items[[#Headers],[name]:[stack_size]] &amp; " = " &amp; Chunk_Items[[#This Row],[name]:[stack_size]])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95CADF-49B1-4F25-9D20-A564B80F80A3}" name="Chunks" displayName="Chunks" ref="K8:Q13" totalsRowShown="0">
  <autoFilter ref="K8:Q13" xr:uid="{6D95CADF-49B1-4F25-9D20-A564B80F80A3}"/>
  <sortState xmlns:xlrd2="http://schemas.microsoft.com/office/spreadsheetml/2017/richdata2" ref="K9:P10">
    <sortCondition ref="K8:K10"/>
  </sortState>
  <tableColumns count="7">
    <tableColumn id="1" xr3:uid="{9C8B2B85-651A-48F5-BE74-6B0CB5EC6401}" name="Variable's Name"/>
    <tableColumn id="3" xr3:uid="{5CB5E631-FE01-4CDD-A4B3-008A4C86A223}" name="name"/>
    <tableColumn id="2" xr3:uid="{36E1B303-2D0B-4894-BA0E-22315D6AA6E7}" name="type" dataDxfId="5">
      <calculatedColumnFormula>"""asteroid-chunk"""</calculatedColumnFormula>
    </tableColumn>
    <tableColumn id="4" xr3:uid="{33E8079D-0ADE-49CC-8F5F-FB561D1043C6}" name="minable" dataDxfId="4"/>
    <tableColumn id="5" xr3:uid="{2D398BB0-41AE-40CE-AA0F-6FA6647FFA57}" name="order"/>
    <tableColumn id="6" xr3:uid="{82F86FA9-1FFF-4AFF-A528-DD559BDA3930}" name="icon"/>
    <tableColumn id="7" xr3:uid="{8D2BAF1D-A998-4CFE-AE20-A7C5A809314F}" name="full string" dataDxfId="0">
      <calculatedColumnFormula array="1">_xlfn.TEXTJOIN("
", TRUE, Chunks[[#This Row],[Variable''s Name]] &amp; "." &amp; Chunks[[#Headers],[name]:[icon]] &amp; " = " &amp; Chunks[[#This Row],[name]:[icon]])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6E5AF8-4762-451C-9EC5-44266BFF352B}" name="Table7" displayName="Table7" ref="C7:AP26" totalsRowShown="0" headerRowDxfId="77">
  <autoFilter ref="C7:AP26" xr:uid="{996E5AF8-4762-451C-9EC5-44266BFF352B}"/>
  <sortState xmlns:xlrd2="http://schemas.microsoft.com/office/spreadsheetml/2017/richdata2" ref="C8:AN26">
    <sortCondition descending="1" ref="C7:C26"/>
  </sortState>
  <tableColumns count="40">
    <tableColumn id="1" xr3:uid="{1C7B22C3-8503-40CA-B985-0F11F98EB3C6}" name="Recipe"/>
    <tableColumn id="12" xr3:uid="{44C30B7E-3F48-43EE-A476-EAF4BA20C75A}" name="Unwritten?" dataDxfId="76"/>
    <tableColumn id="41" xr3:uid="{6E5608DA-75C3-48D4-92AF-824B8C6B9141}" name="Advanced?" dataDxfId="10">
      <calculatedColumnFormula>OR(ISNUMBER(SEARCH("Adv", Table7[[#This Row],[Recipe]])), ISNUMBER(SEARCH("Special", Table7[[#This Row],[Recipe]])))</calculatedColumnFormula>
    </tableColumn>
    <tableColumn id="39" xr3:uid="{D73BFE2A-2B7F-460C-B8F4-2293AE8F1CDF}" name="Variable's Name" dataDxfId="15"/>
    <tableColumn id="2" xr3:uid="{E995243B-09A0-4B61-9891-2750A2869DC3}" name="name" dataDxfId="75"/>
    <tableColumn id="4" xr3:uid="{503397F1-8755-4CF0-8F78-A9F7740B5790}" name="icon" dataDxfId="74"/>
    <tableColumn id="5" xr3:uid="{68F82173-B464-4B40-AC23-3E4F9BE9F52A}" name="order" dataDxfId="73"/>
    <tableColumn id="6" xr3:uid="{41FF6C48-F0D3-46AF-A21F-51ACC01FAB0C}" name="enabled" dataDxfId="72"/>
    <tableColumn id="14" xr3:uid="{D9A98507-2FB7-4229-B1C0-4B1DA8557E9F}" name="energy_required" dataDxfId="9"/>
    <tableColumn id="7" xr3:uid="{49007205-346D-4C29-AD68-C79FA0EA720B}" name="Ingredient 1" dataDxfId="8"/>
    <tableColumn id="15" xr3:uid="{805B845F-9765-4945-826D-8F506E139BE2}" name="Ingredient 2" dataDxfId="6"/>
    <tableColumn id="16" xr3:uid="{D892DCC1-CA40-40C6-A026-DE02CB8B8541}" name="Ingredient 1 Amount" dataDxfId="7"/>
    <tableColumn id="17" xr3:uid="{043F0671-10F0-435E-93F6-76D671AC8761}" name="Ingredient 2 Amount" dataDxfId="71"/>
    <tableColumn id="3" xr3:uid="{8EF822E8-07FB-4876-8800-25F2A9B81873}" name="Result_1_type" dataDxfId="70"/>
    <tableColumn id="30" xr3:uid="{36B4E4F7-052E-4455-A6CA-FFCC3E9245F7}" name="Result_1_name" dataDxfId="69"/>
    <tableColumn id="27" xr3:uid="{9C3D4CEF-5F40-4B68-BD87-448388551748}" name="Result_1_amt_min" dataDxfId="68"/>
    <tableColumn id="26" xr3:uid="{F871C881-69CD-4795-AB43-8B752D2E5250}" name="Result_1_amt_max" dataDxfId="67"/>
    <tableColumn id="28" xr3:uid="{6E355266-0C10-4989-9F5C-656E5531B809}" name="Result_1_P" dataDxfId="66"/>
    <tableColumn id="34" xr3:uid="{F666EFD4-EFAB-4ED2-9F8C-93F381615487}" name="Result_2_type" dataDxfId="65"/>
    <tableColumn id="31" xr3:uid="{EBAA7D64-5ABB-4E65-8B5B-00682D717ECF}" name="Result_2_name" dataDxfId="64"/>
    <tableColumn id="22" xr3:uid="{0F604324-0BE1-40EA-BC68-971D78B203CD}" name="Result_2_amt_min" dataDxfId="63"/>
    <tableColumn id="29" xr3:uid="{95845240-17DF-4258-A672-6BC4AC4F0623}" name="Result_2_amt_max" dataDxfId="62"/>
    <tableColumn id="23" xr3:uid="{F05C630D-F7F6-4014-91DB-C5753DF18CBC}" name="Result_2_P" dataDxfId="61"/>
    <tableColumn id="35" xr3:uid="{29FDA9C5-AC15-474C-B065-A8F35BA59418}" name="Result_3_type" dataDxfId="60"/>
    <tableColumn id="32" xr3:uid="{9317562F-B7E9-490E-BFBC-0F03122AB5F9}" name="Result_3_name" dataDxfId="59"/>
    <tableColumn id="25" xr3:uid="{04B02B68-0016-44BE-8B0D-6E6053EB4293}" name="Result_3_amt_min" dataDxfId="58"/>
    <tableColumn id="24" xr3:uid="{4A76DB66-F126-4A19-B7B9-052150F5EC16}" name="Result_3_amt_max" dataDxfId="57"/>
    <tableColumn id="18" xr3:uid="{1834E88C-3996-4B83-A2D6-E4CBF6799983}" name="Result_3_P" dataDxfId="56"/>
    <tableColumn id="36" xr3:uid="{5C2D1484-E711-4E82-92DB-57B04BD66315}" name="Result_4_type" dataDxfId="55"/>
    <tableColumn id="33" xr3:uid="{5A6880AC-0CDF-4FF5-95A6-EF019821685D}" name="Result_4_name" dataDxfId="54"/>
    <tableColumn id="20" xr3:uid="{F27B8545-BFA0-4FA2-BC1B-A026F34E43F0}" name="Result_4_amt_min" dataDxfId="53"/>
    <tableColumn id="19" xr3:uid="{A869DC81-85C7-4615-8A5E-CD93FEADF931}" name="Result_4_amt_max" dataDxfId="52"/>
    <tableColumn id="21" xr3:uid="{C5FEE21E-C6E2-49F8-AD36-B9EED8A7B149}" name="Result_4_P" dataDxfId="51"/>
    <tableColumn id="8" xr3:uid="{33C291CA-AEA3-41A6-8665-03327AB3E806}" name="Results 1" dataDxfId="50">
      <calculatedColumnFormula array="1">IF(ISBLANK(Table7[[#This Row],[Result_1_type]]), FALSE, "{ " &amp;
 _xlfn.TEXTJOIN(", ",
          TRUE,
          {"type","name","amount_min","amount_max","probability"} &amp; " = " &amp; IF(NOT(ISNUMBER(Table7[[#This Row],[Result_1_type]:[Result_1_P]])), """" &amp; Table7[[#This Row],[Result_1_type]:[Result_1_P]] &amp; """", Table7[[#This Row],[Result_1_type]:[Result_1_P]]) ) &amp;
  " }" )</calculatedColumnFormula>
    </tableColumn>
    <tableColumn id="9" xr3:uid="{7BF645B9-19D0-4473-ACE6-12B66A8165AE}" name="Results 2" dataDxfId="49">
      <calculatedColumnFormula array="1">IF(ISBLANK(Table7[[#This Row],[Result_2_type]]), FALSE, "{ " &amp;
 _xlfn.TEXTJOIN(", ",
          TRUE,
          {"type","name","amount_min","amount_max","probability"} &amp; " = " &amp; IF(NOT(ISNUMBER(Table7[[#This Row],[Result_2_type]:[Result_2_P]])), """" &amp; Table7[[#This Row],[Result_2_type]:[Result_2_P]] &amp; """", Table7[[#This Row],[Result_2_type]:[Result_2_P]]) ) &amp;
  " }" )</calculatedColumnFormula>
    </tableColumn>
    <tableColumn id="10" xr3:uid="{73804FC8-69EB-4E05-8650-4BB574DE531D}" name="Results 3" dataDxfId="48">
      <calculatedColumnFormula array="1">IF(ISBLANK(Table7[[#This Row],[Result_3_type]]), FALSE, "{ " &amp;
 _xlfn.TEXTJOIN(", ",
          TRUE,
          {"type","name","amount_min","amount_max","probability"} &amp; " = " &amp; IF(NOT(ISNUMBER(Table7[[#This Row],[Result_3_type]:[Result_3_P]])), """" &amp; Table7[[#This Row],[Result_3_type]:[Result_3_P]] &amp; """", Table7[[#This Row],[Result_3_type]:[Result_3_P]]) ) &amp;
  " }" )</calculatedColumnFormula>
    </tableColumn>
    <tableColumn id="11" xr3:uid="{6B40EA3E-9F3D-4135-BC18-3EC5AE95AEF0}" name="Results 4" dataDxfId="14">
      <calculatedColumnFormula array="1">IF(ISBLANK(Table7[[#This Row],[Result_4_type]]), FALSE, "{ " &amp;
 _xlfn.TEXTJOIN(", ",
          TRUE,
          {"type","name","amount_min","amount_max","probability"} &amp; " = " &amp; IF(NOT(ISNUMBER(Table7[[#This Row],[Result_4_type]:[Result_4_P]])), """" &amp; Table7[[#This Row],[Result_4_type]:[Result_4_P]] &amp; """", Table7[[#This Row],[Result_4_type]:[Result_4_P]]) ) &amp;
  " }" )</calculatedColumnFormula>
    </tableColumn>
    <tableColumn id="13" xr3:uid="{983E9E0D-A8BE-4A49-88C0-0F9647C154FB}" name="Ingredient String" dataDxfId="13">
      <calculatedColumnFormula array="1" xml:space="preserve"> "{ " &amp;
 _xlfn.TEXTJOIN(", ",
          TRUE,
          "{ type = ""item"", name = """ &amp; _xlfn.TRIMRANGE(Table7[[#This Row],[Ingredient 1]:[Ingredient 2]]) &amp; """, amount = " &amp; _xlfn.TRIMRANGE(Table7[[#This Row],[Ingredient 1 Amount]:[Ingredient 2 Amount]]) &amp; " }")
&amp; " }"</calculatedColumnFormula>
    </tableColumn>
    <tableColumn id="37" xr3:uid="{D9725653-650B-4E33-86E4-FA48D30F5455}" name="Results String" dataDxfId="12">
      <calculatedColumnFormula array="1" xml:space="preserve"> "{ 
    " &amp; _xlfn.TEXTJOIN(", 
    ", TRUE, _xlfn._xlws.FILTER(Table7[[#This Row],[Results 1]:[Results 4]], IFERROR(--Table7[[#This Row],[Results 1]:[Results 4]], TRUE))) &amp; " 
}"</calculatedColumnFormula>
    </tableColumn>
    <tableColumn id="40" xr3:uid="{6A447D5A-EAF2-404F-A826-F6177D7B50D6}" name="Whole String" dataDxfId="11">
      <calculatedColumnFormula array="1">_xlfn.TEXTJOIN("
", TRUE, Table7[[#This Row],[Variable''s Name]] &amp; "." &amp; Table7[[#Headers],[name]:[energy_required]] &amp; " = " &amp; Table7[[#This Row],[name]:[energy_required]]) &amp; "
" &amp; Table7[[#This Row],[Variable''s Name]] &amp; ".ingredients = " &amp; Table7[[#This Row],[Ingredient String]] &amp; "
" &amp; Table7[[#This Row],[Variable''s Name]] &amp; ".results = " &amp; Table7[[#This Row],[Results String]]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C02366-D4DD-41A4-8050-773DDA42B27E}" name="Table1" displayName="Table1" ref="H5:K15" totalsRowShown="0">
  <autoFilter ref="H5:K15" xr:uid="{8FC02366-D4DD-41A4-8050-773DDA42B27E}"/>
  <tableColumns count="4">
    <tableColumn id="1" xr3:uid="{959EF51D-F84A-47B3-BB90-19C907903580}" name="name"/>
    <tableColumn id="2" xr3:uid="{C3C91221-23BC-4002-9309-7C9CD86A66DB}" name="type" dataDxfId="17">
      <calculatedColumnFormula>"""item"""</calculatedColumnFormula>
    </tableColumn>
    <tableColumn id="3" xr3:uid="{214E8F8E-48B4-4BB8-B3A1-54F2A217D484}" name="amount"/>
    <tableColumn id="7" xr3:uid="{24D768D4-2DBF-4BCF-BF27-3E53FCF0468E}" name="line items" dataDxfId="16">
      <calculatedColumnFormula array="1">"    { " &amp; _xlfn.TEXTJOIN(", ", TRUE, Table1[[#Headers],[name]:[amount]] &amp; " = " &amp; Table1[[#This Row],[name]:[amount]]) &amp; " }"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466F-79F7-46EC-9385-969031045057}">
  <sheetPr codeName="Sheet1"/>
  <dimension ref="B3:AI41"/>
  <sheetViews>
    <sheetView topLeftCell="Q1" workbookViewId="0">
      <selection activeCell="AE17" sqref="AE17"/>
    </sheetView>
  </sheetViews>
  <sheetFormatPr defaultRowHeight="14.25"/>
  <cols>
    <col min="2" max="2" width="21.375" bestFit="1" customWidth="1"/>
    <col min="3" max="3" width="21.375" style="2" customWidth="1"/>
    <col min="4" max="10" width="10.375" style="2" customWidth="1"/>
    <col min="11" max="11" width="25" style="2" customWidth="1"/>
    <col min="12" max="12" width="35.125" style="2" customWidth="1"/>
    <col min="13" max="13" width="40.125" style="2" customWidth="1"/>
    <col min="14" max="14" width="50.375" style="2" customWidth="1"/>
    <col min="15" max="17" width="43.875" style="2" customWidth="1"/>
    <col min="18" max="28" width="10.375" style="2" customWidth="1"/>
    <col min="32" max="32" width="14" customWidth="1"/>
  </cols>
  <sheetData>
    <row r="3" spans="2:28" s="3" customFormat="1" ht="71.25" customHeight="1">
      <c r="B3" s="3" t="s">
        <v>23</v>
      </c>
      <c r="C3" s="1" t="s">
        <v>59</v>
      </c>
      <c r="D3" s="1" t="s">
        <v>69</v>
      </c>
      <c r="E3" s="1" t="s">
        <v>70</v>
      </c>
      <c r="F3" s="1" t="s">
        <v>71</v>
      </c>
      <c r="G3" s="1" t="s">
        <v>72</v>
      </c>
      <c r="H3" s="1" t="s">
        <v>73</v>
      </c>
      <c r="I3" s="1" t="s">
        <v>74</v>
      </c>
      <c r="J3" s="1" t="s">
        <v>14</v>
      </c>
      <c r="K3" s="1" t="s">
        <v>84</v>
      </c>
      <c r="L3" s="1" t="s">
        <v>75</v>
      </c>
      <c r="M3" s="1" t="s">
        <v>68</v>
      </c>
      <c r="N3" s="1" t="s">
        <v>67</v>
      </c>
      <c r="O3" s="1" t="s">
        <v>76</v>
      </c>
      <c r="P3" s="1" t="s">
        <v>77</v>
      </c>
      <c r="Q3" s="1" t="s">
        <v>78</v>
      </c>
      <c r="R3" s="1" t="s">
        <v>79</v>
      </c>
      <c r="S3" s="1" t="s">
        <v>80</v>
      </c>
      <c r="T3" s="1" t="s">
        <v>81</v>
      </c>
      <c r="U3" s="1" t="s">
        <v>82</v>
      </c>
      <c r="V3" s="1" t="s">
        <v>83</v>
      </c>
      <c r="W3" s="1" t="s">
        <v>7</v>
      </c>
      <c r="X3" s="1" t="s">
        <v>8</v>
      </c>
      <c r="Y3" s="1" t="s">
        <v>9</v>
      </c>
      <c r="Z3" s="1" t="s">
        <v>10</v>
      </c>
      <c r="AA3" s="1" t="s">
        <v>12</v>
      </c>
      <c r="AB3" s="1" t="s">
        <v>19</v>
      </c>
    </row>
    <row r="4" spans="2:28">
      <c r="B4" t="s">
        <v>0</v>
      </c>
      <c r="C4" s="2" t="e">
        <f>INDEX(Table7[energy_required], MATCH(Table4[[#This Row],[Recipe]], Table7[Recipe], 0))</f>
        <v>#N/A</v>
      </c>
      <c r="D4" s="8" t="s">
        <v>13</v>
      </c>
      <c r="E4" s="8"/>
      <c r="F4" s="8"/>
      <c r="G4" s="8"/>
      <c r="H4" s="8"/>
      <c r="I4" s="8"/>
      <c r="J4" s="8" t="str" cm="1">
        <f t="array" ref="J4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4" s="8" t="str" cm="1">
        <f t="array" ref="K4">_xlfn.LET(_xlpm.recipeResults, _xlfn._xlws.FILTER(Table7[[Results 1]:[Results 4]], Table7[Recipe] = Table4[[#This Row],[Recipe]]),
     IFERROR(
     _xlfn._xlws.FILTER(_xlpm.recipeResults, ISNUMBER(SEARCH(K$3, _xlpm.recipeResults))), " - ") )</f>
        <v xml:space="preserve"> - </v>
      </c>
      <c r="L4" s="8"/>
      <c r="M4" s="8"/>
      <c r="N4" s="8" t="str" cm="1">
        <f t="array" ref="N4">_xlfn.LET(_xlpm.recipeResults, _xlfn._xlws.FILTER(Table7[[Results 1]:[Results 4]], Table7[Recipe] = Table4[[#This Row],[Recipe]]),
     IFERROR(
     _xlfn._xlws.FILTER(_xlpm.recipeResults, ISNUMBER(SEARCH(N$3, _xlpm.recipeResults))), " - ") )</f>
        <v xml:space="preserve"> - 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2:28">
      <c r="B5" t="s">
        <v>1</v>
      </c>
      <c r="C5" s="2" t="e">
        <f>INDEX(Table7[energy_required], MATCH(Table4[[#This Row],[Recipe]], Table7[Recipe], 0))</f>
        <v>#N/A</v>
      </c>
      <c r="D5" s="8"/>
      <c r="E5" s="8"/>
      <c r="F5" s="8" t="s">
        <v>13</v>
      </c>
      <c r="G5" s="8"/>
      <c r="H5" s="8"/>
      <c r="I5" s="8"/>
      <c r="J5" s="8" t="str" cm="1">
        <f t="array" ref="J5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5" s="8" t="str" cm="1">
        <f t="array" ref="K5">_xlfn.LET(_xlpm.recipeResults, _xlfn._xlws.FILTER(Table7[[Results 1]:[Results 4]], Table7[Recipe] = Table4[[#This Row],[Recipe]]),
     IFERROR(
     _xlfn._xlws.FILTER(_xlpm.recipeResults, ISNUMBER(SEARCH(K$3, _xlpm.recipeResults))), " - ") )</f>
        <v xml:space="preserve"> - </v>
      </c>
      <c r="L5" s="8"/>
      <c r="M5" s="8"/>
      <c r="N5" s="8" t="str" cm="1">
        <f t="array" ref="N5">_xlfn.LET(_xlpm.recipeResults, _xlfn._xlws.FILTER(Table7[[Results 1]:[Results 4]], Table7[Recipe] = Table4[[#This Row],[Recipe]]),
     IFERROR(
     _xlfn._xlws.FILTER(_xlpm.recipeResults, ISNUMBER(SEARCH(N$3, _xlpm.recipeResults))), " - ") )</f>
        <v xml:space="preserve"> - 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2:28">
      <c r="B6" t="s">
        <v>2</v>
      </c>
      <c r="C6" s="2" t="e">
        <f>INDEX(Table7[energy_required], MATCH(Table4[[#This Row],[Recipe]], Table7[Recipe], 0))</f>
        <v>#N/A</v>
      </c>
      <c r="D6" s="8"/>
      <c r="E6" s="8"/>
      <c r="F6" s="8"/>
      <c r="G6" s="8"/>
      <c r="H6" s="8" t="s">
        <v>13</v>
      </c>
      <c r="I6" s="8"/>
      <c r="J6" s="8" t="str" cm="1">
        <f t="array" ref="J6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6" s="8" t="str" cm="1">
        <f t="array" ref="K6">_xlfn.LET(_xlpm.recipeResults, _xlfn._xlws.FILTER(Table7[[Results 1]:[Results 4]], Table7[Recipe] = Table4[[#This Row],[Recipe]]),
     IFERROR(
     _xlfn._xlws.FILTER(_xlpm.recipeResults, ISNUMBER(SEARCH(K$3, _xlpm.recipeResults))), " - ") )</f>
        <v xml:space="preserve"> - </v>
      </c>
      <c r="L6" s="8"/>
      <c r="M6" s="8"/>
      <c r="N6" s="8" t="str" cm="1">
        <f t="array" ref="N6">_xlfn.LET(_xlpm.recipeResults, _xlfn._xlws.FILTER(Table7[[Results 1]:[Results 4]], Table7[Recipe] = Table4[[#This Row],[Recipe]]),
     IFERROR(
     _xlfn._xlws.FILTER(_xlpm.recipeResults, ISNUMBER(SEARCH(N$3, _xlpm.recipeResults))), " - ") )</f>
        <v xml:space="preserve"> - 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2:28" ht="27.75" customHeight="1">
      <c r="B7" t="s">
        <v>51</v>
      </c>
      <c r="C7" s="2">
        <f>INDEX(Table7[energy_required], MATCH(Table4[[#This Row],[Recipe]], Table7[Recipe], 0))</f>
        <v>2</v>
      </c>
      <c r="D7" s="8" t="str" cm="1">
        <f t="array" ref="D7">_xlfn.LET(_xlpm.recipeResults, _xlfn._xlws.FILTER(Table7[[Results 1]:[Results 4]], Table7[Recipe] = Table4[[#This Row],[Recipe]]),
     IFERROR(
     _xlfn._xlws.FILTER(_xlpm.recipeResults, ISNUMBER(SEARCH(D$3, _xlpm.recipeResults))), " - ") )</f>
        <v xml:space="preserve"> - </v>
      </c>
      <c r="E7" s="8" t="str" cm="1">
        <f t="array" ref="E7">_xlfn.LET(_xlpm.recipeResults, _xlfn._xlws.FILTER(Table7[[Results 1]:[Results 4]], Table7[Recipe] = Table4[[#This Row],[Recipe]]),
     IFERROR(
     _xlfn._xlws.FILTER(_xlpm.recipeResults, ISNUMBER(SEARCH(E$3, _xlpm.recipeResults))), " - ") )</f>
        <v xml:space="preserve"> - </v>
      </c>
      <c r="F7" s="8" t="str" cm="1">
        <f t="array" ref="F7">_xlfn.LET(_xlpm.recipeResults, _xlfn._xlws.FILTER(Table7[[Results 1]:[Results 4]], Table7[Recipe] = Table4[[#This Row],[Recipe]]),
     IFERROR(
     _xlfn._xlws.FILTER(_xlpm.recipeResults, ISNUMBER(SEARCH(F$3, _xlpm.recipeResults))), " - ") )</f>
        <v xml:space="preserve"> - </v>
      </c>
      <c r="G7" s="8" t="str" cm="1">
        <f t="array" ref="G7">_xlfn.LET(_xlpm.recipeResults, _xlfn._xlws.FILTER(Table7[[Results 1]:[Results 4]], Table7[Recipe] = Table4[[#This Row],[Recipe]]),
     IFERROR(
     _xlfn._xlws.FILTER(_xlpm.recipeResults, ISNUMBER(SEARCH(G$3, _xlpm.recipeResults))), " - ") )</f>
        <v xml:space="preserve"> - </v>
      </c>
      <c r="H7" s="8" t="str" cm="1">
        <f t="array" ref="H7">_xlfn.LET(_xlpm.recipeResults, _xlfn._xlws.FILTER(Table7[[Results 1]:[Results 4]], Table7[Recipe] = Table4[[#This Row],[Recipe]]),
     IFERROR(
     _xlfn._xlws.FILTER(_xlpm.recipeResults, ISNUMBER(SEARCH(H$3, _xlpm.recipeResults))), " - ") )</f>
        <v xml:space="preserve"> - </v>
      </c>
      <c r="I7" s="8" t="str" cm="1">
        <f t="array" ref="I7">_xlfn.LET(_xlpm.recipeResults, _xlfn._xlws.FILTER(Table7[[Results 1]:[Results 4]], Table7[Recipe] = Table4[[#This Row],[Recipe]]),
     IFERROR(
     _xlfn._xlws.FILTER(_xlpm.recipeResults, ISNUMBER(SEARCH(I$3, _xlpm.recipeResults))), " - ") )</f>
        <v xml:space="preserve"> - </v>
      </c>
      <c r="J7" s="8" t="str" cm="1">
        <f t="array" ref="J7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7" s="8" t="str" cm="1">
        <f t="array" ref="K7">_xlfn.LET(_xlpm.recipeResults, _xlfn._xlws.FILTER(Table7[[Results 1]:[Results 4]], Table7[Recipe] = Table4[[#This Row],[Recipe]]),
     IFERROR(
     _xlfn._xlws.FILTER(_xlpm.recipeResults, ISNUMBER(SEARCH(K$3, _xlpm.recipeResults))), " - ") )</f>
        <v>{ type = "item", name = "solid-fuel", amount_min = 5, amount_max = 15, probability = 1 }</v>
      </c>
      <c r="L7" s="9" t="str" cm="1">
        <f t="array" ref="L7">_xlfn.LET(_xlpm.recipeResults, _xlfn._xlws.FILTER(Table7[[Results 1]:[Results 4]], Table7[Recipe] = Table4[[#This Row],[Recipe]]),
     IFERROR(
     _xlfn._xlws.FILTER(_xlpm.recipeResults, ISNUMBER(SEARCH(L$3, _xlpm.recipeResults))), " - ") )</f>
        <v xml:space="preserve"> - </v>
      </c>
      <c r="M7" s="8" t="str" cm="1">
        <f t="array" ref="M7">_xlfn.LET(_xlpm.recipeResults, _xlfn._xlws.FILTER(Table7[[Results 1]:[Results 4]], Table7[Recipe] = Table4[[#This Row],[Recipe]]),
     IFERROR(
     _xlfn._xlws.FILTER(_xlpm.recipeResults, ISNUMBER(SEARCH(M$3, _xlpm.recipeResults))), " - ") )</f>
        <v xml:space="preserve"> - </v>
      </c>
      <c r="N7" s="8" t="str" cm="1">
        <f t="array" ref="N7">_xlfn.LET(_xlpm.recipeResults, _xlfn._xlws.FILTER(Table7[[Results 1]:[Results 4]], Table7[Recipe] = Table4[[#This Row],[Recipe]]),
     IFERROR(
     _xlfn._xlws.FILTER(_xlpm.recipeResults, ISNUMBER(SEARCH(N$3, _xlpm.recipeResults))), " - ") )</f>
        <v xml:space="preserve"> - </v>
      </c>
      <c r="O7" s="8" t="str" cm="1">
        <f t="array" ref="O7">_xlfn.LET(_xlpm.recipeResults, _xlfn._xlws.FILTER(Table7[[Results 1]:[Results 4]], Table7[Recipe] = Table4[[#This Row],[Recipe]]),
     IFERROR(
     _xlfn._xlws.FILTER(_xlpm.recipeResults, ISNUMBER(SEARCH(O$3, _xlpm.recipeResults))), " - ") )</f>
        <v xml:space="preserve"> - </v>
      </c>
      <c r="P7" s="8" t="str" cm="1">
        <f t="array" ref="P7">_xlfn.LET(_xlpm.recipeResults, _xlfn._xlws.FILTER(Table7[[Results 1]:[Results 4]], Table7[Recipe] = Table4[[#This Row],[Recipe]]),
     IFERROR(
     _xlfn._xlws.FILTER(_xlpm.recipeResults, ISNUMBER(SEARCH(P$3, _xlpm.recipeResults))), " - ") )</f>
        <v xml:space="preserve"> - </v>
      </c>
      <c r="Q7" s="8" t="str" cm="1">
        <f t="array" ref="Q7">_xlfn.LET(_xlpm.recipeResults, _xlfn._xlws.FILTER(Table7[[Results 1]:[Results 4]], Table7[Recipe] = Table4[[#This Row],[Recipe]]),
     IFERROR(
     _xlfn._xlws.FILTER(_xlpm.recipeResults, ISNUMBER(SEARCH(Q$3, _xlpm.recipeResults))), " - ") )</f>
        <v xml:space="preserve"> - </v>
      </c>
      <c r="R7" s="8" t="str" cm="1">
        <f t="array" ref="R7">_xlfn.LET(_xlpm.recipeResults, _xlfn._xlws.FILTER(Table7[[Results 1]:[Results 4]], Table7[Recipe] = Table4[[#This Row],[Recipe]]),
     IFERROR(
     _xlfn._xlws.FILTER(_xlpm.recipeResults, ISNUMBER(SEARCH(R$3, _xlpm.recipeResults))), " - ") )</f>
        <v xml:space="preserve"> - </v>
      </c>
      <c r="S7" s="8" t="str" cm="1">
        <f t="array" ref="S7">_xlfn.LET(_xlpm.recipeResults, _xlfn._xlws.FILTER(Table7[[Results 1]:[Results 4]], Table7[Recipe] = Table4[[#This Row],[Recipe]]),
     IFERROR(
     _xlfn._xlws.FILTER(_xlpm.recipeResults, ISNUMBER(SEARCH(S$3, _xlpm.recipeResults))), " - ") )</f>
        <v xml:space="preserve"> - </v>
      </c>
      <c r="T7" s="8" t="str" cm="1">
        <f t="array" ref="T7">_xlfn.LET(_xlpm.recipeResults, _xlfn._xlws.FILTER(Table7[[Results 1]:[Results 4]], Table7[Recipe] = Table4[[#This Row],[Recipe]]),
     IFERROR(
     _xlfn._xlws.FILTER(_xlpm.recipeResults, ISNUMBER(SEARCH(T$3, _xlpm.recipeResults))), " - ") )</f>
        <v xml:space="preserve"> - </v>
      </c>
      <c r="U7" s="8" t="str" cm="1">
        <f t="array" ref="U7">_xlfn.LET(_xlpm.recipeResults, _xlfn._xlws.FILTER(Table7[[Results 1]:[Results 4]], Table7[Recipe] = Table4[[#This Row],[Recipe]]),
     IFERROR(
     _xlfn._xlws.FILTER(_xlpm.recipeResults, ISNUMBER(SEARCH(U$3, _xlpm.recipeResults))), " - ") )</f>
        <v xml:space="preserve"> - </v>
      </c>
      <c r="V7" s="8" t="str" cm="1">
        <f t="array" ref="V7">_xlfn.LET(_xlpm.recipeResults, _xlfn._xlws.FILTER(Table7[[Results 1]:[Results 4]], Table7[Recipe] = Table4[[#This Row],[Recipe]]),
     IFERROR(
     _xlfn._xlws.FILTER(_xlpm.recipeResults, ISNUMBER(SEARCH(V$3, _xlpm.recipeResults))), " - ") )</f>
        <v xml:space="preserve"> - </v>
      </c>
      <c r="W7" s="8" t="str" cm="1">
        <f t="array" ref="W7">_xlfn.LET(_xlpm.recipeResults, _xlfn._xlws.FILTER(Table7[[Results 1]:[Results 4]], Table7[Recipe] = Table4[[#This Row],[Recipe]]),
     IFERROR(
     _xlfn._xlws.FILTER(_xlpm.recipeResults, ISNUMBER(SEARCH(W$3, _xlpm.recipeResults))), " - ") )</f>
        <v xml:space="preserve"> - </v>
      </c>
      <c r="X7" s="8" t="str" cm="1">
        <f t="array" ref="X7">_xlfn.LET(_xlpm.recipeResults, _xlfn._xlws.FILTER(Table7[[Results 1]:[Results 4]], Table7[Recipe] = Table4[[#This Row],[Recipe]]),
     IFERROR(
     _xlfn._xlws.FILTER(_xlpm.recipeResults, ISNUMBER(SEARCH(X$3, _xlpm.recipeResults))), " - ") )</f>
        <v xml:space="preserve"> - </v>
      </c>
      <c r="Y7" s="8" t="str" cm="1">
        <f t="array" ref="Y7">_xlfn.LET(_xlpm.recipeResults, _xlfn._xlws.FILTER(Table7[[Results 1]:[Results 4]], Table7[Recipe] = Table4[[#This Row],[Recipe]]),
     IFERROR(
     _xlfn._xlws.FILTER(_xlpm.recipeResults, ISNUMBER(SEARCH(Y$3, _xlpm.recipeResults))), " - ") )</f>
        <v xml:space="preserve"> - </v>
      </c>
      <c r="Z7" s="8" t="str" cm="1">
        <f t="array" ref="Z7">_xlfn.LET(_xlpm.recipeResults, _xlfn._xlws.FILTER(Table7[[Results 1]:[Results 4]], Table7[Recipe] = Table4[[#This Row],[Recipe]]),
     IFERROR(
     _xlfn._xlws.FILTER(_xlpm.recipeResults, ISNUMBER(SEARCH(Z$3, _xlpm.recipeResults))), " - ") )</f>
        <v xml:space="preserve"> - </v>
      </c>
      <c r="AA7" s="8" t="str" cm="1">
        <f t="array" ref="AA7">_xlfn.LET(_xlpm.recipeResults, _xlfn._xlws.FILTER(Table7[[Results 1]:[Results 4]], Table7[Recipe] = Table4[[#This Row],[Recipe]]),
     IFERROR(
     _xlfn._xlws.FILTER(_xlpm.recipeResults, ISNUMBER(SEARCH(AA$3, _xlpm.recipeResults))), " - ") )</f>
        <v xml:space="preserve"> - </v>
      </c>
      <c r="AB7" s="8" t="str" cm="1">
        <f t="array" ref="AB7">_xlfn.LET(_xlpm.recipeResults, _xlfn._xlws.FILTER(Table7[[Results 1]:[Results 4]], Table7[Recipe] = Table4[[#This Row],[Recipe]]),
     IFERROR(
     _xlfn._xlws.FILTER(_xlpm.recipeResults, ISNUMBER(SEARCH(AB$3, _xlpm.recipeResults))), " - ") )</f>
        <v xml:space="preserve"> - </v>
      </c>
    </row>
    <row r="8" spans="2:28">
      <c r="B8" t="s">
        <v>42</v>
      </c>
      <c r="C8" s="2">
        <f>INDEX(Table7[energy_required], MATCH(Table4[[#This Row],[Recipe]], Table7[Recipe], 0))</f>
        <v>2</v>
      </c>
      <c r="D8" s="8"/>
      <c r="E8" s="8"/>
      <c r="F8" s="8"/>
      <c r="G8" s="8"/>
      <c r="H8" s="8"/>
      <c r="I8" s="8"/>
      <c r="J8" s="8" t="str" cm="1">
        <f t="array" ref="J8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8" s="8" t="str" cm="1">
        <f t="array" ref="K8">_xlfn.LET(_xlpm.recipeResults, _xlfn._xlws.FILTER(Table7[[Results 1]:[Results 4]], Table7[Recipe] = Table4[[#This Row],[Recipe]]),
     IFERROR(
     _xlfn._xlws.FILTER(_xlpm.recipeResults, ISNUMBER(SEARCH(K$3, _xlpm.recipeResults))), " - ") )</f>
        <v xml:space="preserve"> - </v>
      </c>
      <c r="L8" s="8"/>
      <c r="M8" s="8" t="s">
        <v>13</v>
      </c>
      <c r="N8" s="8" t="str" cm="1">
        <f t="array" ref="N8">_xlfn.LET(_xlpm.recipeResults, _xlfn._xlws.FILTER(Table7[[Results 1]:[Results 4]], Table7[Recipe] = Table4[[#This Row],[Recipe]]),
     IFERROR(
     _xlfn._xlws.FILTER(_xlpm.recipeResults, ISNUMBER(SEARCH(N$3, _xlpm.recipeResults))), " - ") )</f>
        <v>{ type = "item", name = "uranium-ore", amount_min = 1, amount_max = 1, probability = 0.1 }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2:28">
      <c r="B9" t="s">
        <v>3</v>
      </c>
      <c r="C9" s="2" t="e">
        <f>INDEX(Table7[energy_required], MATCH(Table4[[#This Row],[Recipe]], Table7[Recipe], 0))</f>
        <v>#N/A</v>
      </c>
      <c r="D9" s="8"/>
      <c r="E9" s="8"/>
      <c r="F9" s="8"/>
      <c r="G9" s="8"/>
      <c r="H9" s="8"/>
      <c r="I9" s="8"/>
      <c r="J9" s="8" t="str" cm="1">
        <f t="array" ref="J9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9" s="8" t="str" cm="1">
        <f t="array" ref="K9">_xlfn.LET(_xlpm.recipeResults, _xlfn._xlws.FILTER(Table7[[Results 1]:[Results 4]], Table7[Recipe] = Table4[[#This Row],[Recipe]]),
     IFERROR(
     _xlfn._xlws.FILTER(_xlpm.recipeResults, ISNUMBER(SEARCH(K$3, _xlpm.recipeResults))), " - ") )</f>
        <v xml:space="preserve"> - </v>
      </c>
      <c r="L9" s="8"/>
      <c r="M9" s="8" t="s">
        <v>13</v>
      </c>
      <c r="N9" s="8" t="str" cm="1">
        <f t="array" ref="N9">_xlfn.LET(_xlpm.recipeResults, _xlfn._xlws.FILTER(Table7[[Results 1]:[Results 4]], Table7[Recipe] = Table4[[#This Row],[Recipe]]),
     IFERROR(
     _xlfn._xlws.FILTER(_xlpm.recipeResults, ISNUMBER(SEARCH(N$3, _xlpm.recipeResults))), " - ") )</f>
        <v xml:space="preserve"> - </v>
      </c>
      <c r="O9" s="8"/>
      <c r="P9" s="8"/>
      <c r="Q9" s="8" t="s">
        <v>13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2:28">
      <c r="B10" t="s">
        <v>4</v>
      </c>
      <c r="C10" s="2" t="e">
        <f>INDEX(Table7[energy_required], MATCH(Table4[[#This Row],[Recipe]], Table7[Recipe], 0))</f>
        <v>#N/A</v>
      </c>
      <c r="D10" s="8"/>
      <c r="E10" s="8"/>
      <c r="F10" s="8"/>
      <c r="G10" s="8"/>
      <c r="H10" s="8"/>
      <c r="I10" s="8"/>
      <c r="J10" s="8" t="str" cm="1">
        <f t="array" ref="J10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10" s="8" t="str" cm="1">
        <f t="array" ref="K10">_xlfn.LET(_xlpm.recipeResults, _xlfn._xlws.FILTER(Table7[[Results 1]:[Results 4]], Table7[Recipe] = Table4[[#This Row],[Recipe]]),
     IFERROR(
     _xlfn._xlws.FILTER(_xlpm.recipeResults, ISNUMBER(SEARCH(K$3, _xlpm.recipeResults))), " - ") )</f>
        <v xml:space="preserve"> - </v>
      </c>
      <c r="L10" s="8"/>
      <c r="M10" s="8"/>
      <c r="N10" s="8" t="str" cm="1">
        <f t="array" ref="N10">_xlfn.LET(_xlpm.recipeResults, _xlfn._xlws.FILTER(Table7[[Results 1]:[Results 4]], Table7[Recipe] = Table4[[#This Row],[Recipe]]),
     IFERROR(
     _xlfn._xlws.FILTER(_xlpm.recipeResults, ISNUMBER(SEARCH(N$3, _xlpm.recipeResults))), " - ") )</f>
        <v xml:space="preserve"> - </v>
      </c>
      <c r="O10" s="8"/>
      <c r="P10" s="8"/>
      <c r="Q10" s="8"/>
      <c r="R10" s="8"/>
      <c r="S10" s="8" t="s">
        <v>13</v>
      </c>
      <c r="T10" s="8"/>
      <c r="U10" s="8"/>
      <c r="V10" s="8"/>
      <c r="W10" s="8"/>
      <c r="X10" s="8"/>
      <c r="Y10" s="8"/>
      <c r="Z10" s="8"/>
      <c r="AA10" s="8"/>
      <c r="AB10" s="8"/>
    </row>
    <row r="11" spans="2:28">
      <c r="B11" t="s">
        <v>5</v>
      </c>
      <c r="C11" s="2" t="e">
        <f>INDEX(Table7[energy_required], MATCH(Table4[[#This Row],[Recipe]], Table7[Recipe], 0))</f>
        <v>#N/A</v>
      </c>
      <c r="D11" s="8"/>
      <c r="E11" s="8"/>
      <c r="F11" s="8"/>
      <c r="G11" s="8"/>
      <c r="H11" s="8"/>
      <c r="I11" s="8"/>
      <c r="J11" s="8" t="str" cm="1">
        <f t="array" ref="J11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11" s="8" t="str" cm="1">
        <f t="array" ref="K11">_xlfn.LET(_xlpm.recipeResults, _xlfn._xlws.FILTER(Table7[[Results 1]:[Results 4]], Table7[Recipe] = Table4[[#This Row],[Recipe]]),
     IFERROR(
     _xlfn._xlws.FILTER(_xlpm.recipeResults, ISNUMBER(SEARCH(K$3, _xlpm.recipeResults))), " - ") )</f>
        <v xml:space="preserve"> - </v>
      </c>
      <c r="L11" s="8"/>
      <c r="M11" s="8" t="s">
        <v>13</v>
      </c>
      <c r="N11" s="8" t="str" cm="1">
        <f t="array" ref="N11">_xlfn.LET(_xlpm.recipeResults, _xlfn._xlws.FILTER(Table7[[Results 1]:[Results 4]], Table7[Recipe] = Table4[[#This Row],[Recipe]]),
     IFERROR(
     _xlfn._xlws.FILTER(_xlpm.recipeResults, ISNUMBER(SEARCH(N$3, _xlpm.recipeResults))), " - ") )</f>
        <v xml:space="preserve"> - </v>
      </c>
      <c r="O11" s="8"/>
      <c r="P11" s="8"/>
      <c r="Q11" s="8"/>
      <c r="R11" s="8"/>
      <c r="S11" s="8"/>
      <c r="T11" s="8" t="s">
        <v>13</v>
      </c>
      <c r="U11" s="8" t="s">
        <v>13</v>
      </c>
      <c r="V11" s="8" t="s">
        <v>13</v>
      </c>
      <c r="W11" s="8" t="s">
        <v>18</v>
      </c>
      <c r="X11" s="8"/>
      <c r="Y11" s="8"/>
      <c r="Z11" s="8"/>
      <c r="AA11" s="8"/>
      <c r="AB11" s="8"/>
    </row>
    <row r="12" spans="2:28">
      <c r="B12" t="s">
        <v>6</v>
      </c>
      <c r="C12" s="2" t="e">
        <f>INDEX(Table7[energy_required], MATCH(Table4[[#This Row],[Recipe]], Table7[Recipe], 0))</f>
        <v>#N/A</v>
      </c>
      <c r="D12" s="8"/>
      <c r="E12" s="8"/>
      <c r="F12" s="8"/>
      <c r="G12" s="8"/>
      <c r="H12" s="8"/>
      <c r="I12" s="8"/>
      <c r="J12" s="8" t="str" cm="1">
        <f t="array" ref="J12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12" s="8" t="str" cm="1">
        <f t="array" ref="K12">_xlfn.LET(_xlpm.recipeResults, _xlfn._xlws.FILTER(Table7[[Results 1]:[Results 4]], Table7[Recipe] = Table4[[#This Row],[Recipe]]),
     IFERROR(
     _xlfn._xlws.FILTER(_xlpm.recipeResults, ISNUMBER(SEARCH(K$3, _xlpm.recipeResults))), " - ") )</f>
        <v xml:space="preserve"> - </v>
      </c>
      <c r="L12" s="8"/>
      <c r="M12" s="8"/>
      <c r="N12" s="8" t="str" cm="1">
        <f t="array" ref="N12">_xlfn.LET(_xlpm.recipeResults, _xlfn._xlws.FILTER(Table7[[Results 1]:[Results 4]], Table7[Recipe] = Table4[[#This Row],[Recipe]]),
     IFERROR(
     _xlfn._xlws.FILTER(_xlpm.recipeResults, ISNUMBER(SEARCH(N$3, _xlpm.recipeResults))), " - ") )</f>
        <v xml:space="preserve"> - </v>
      </c>
      <c r="O12" s="8"/>
      <c r="P12" s="8"/>
      <c r="Q12" s="8"/>
      <c r="R12" s="8"/>
      <c r="S12" s="8"/>
      <c r="T12" s="8"/>
      <c r="U12" s="8"/>
      <c r="V12" s="8"/>
      <c r="W12" s="8"/>
      <c r="X12" s="8" t="s">
        <v>13</v>
      </c>
      <c r="Y12" s="8" t="s">
        <v>13</v>
      </c>
      <c r="Z12" s="8" t="s">
        <v>13</v>
      </c>
      <c r="AA12" s="8"/>
      <c r="AB12" s="8"/>
    </row>
    <row r="13" spans="2:28">
      <c r="B13" t="s">
        <v>11</v>
      </c>
      <c r="C13" s="2" t="e">
        <f>INDEX(Table7[energy_required], MATCH(Table4[[#This Row],[Recipe]], Table7[Recipe], 0))</f>
        <v>#N/A</v>
      </c>
      <c r="D13" s="8"/>
      <c r="E13" s="8"/>
      <c r="F13" s="8"/>
      <c r="G13" s="8"/>
      <c r="H13" s="8"/>
      <c r="I13" s="8"/>
      <c r="J13" s="8" t="str" cm="1">
        <f t="array" ref="J13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13" s="8" t="str" cm="1">
        <f t="array" ref="K13">_xlfn.LET(_xlpm.recipeResults, _xlfn._xlws.FILTER(Table7[[Results 1]:[Results 4]], Table7[Recipe] = Table4[[#This Row],[Recipe]]),
     IFERROR(
     _xlfn._xlws.FILTER(_xlpm.recipeResults, ISNUMBER(SEARCH(K$3, _xlpm.recipeResults))), " - ") )</f>
        <v xml:space="preserve"> - </v>
      </c>
      <c r="L13" s="8"/>
      <c r="M13" s="8"/>
      <c r="N13" s="8" t="str" cm="1">
        <f t="array" ref="N13">_xlfn.LET(_xlpm.recipeResults, _xlfn._xlws.FILTER(Table7[[Results 1]:[Results 4]], Table7[Recipe] = Table4[[#This Row],[Recipe]]),
     IFERROR(
     _xlfn._xlws.FILTER(_xlpm.recipeResults, ISNUMBER(SEARCH(N$3, _xlpm.recipeResults))), " - ") )</f>
        <v xml:space="preserve"> - 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 t="s">
        <v>13</v>
      </c>
      <c r="AB13" s="8"/>
    </row>
    <row r="14" spans="2:28">
      <c r="B14" t="s">
        <v>16</v>
      </c>
      <c r="C14" s="2" t="e">
        <f>INDEX(Table7[energy_required], MATCH(Table4[[#This Row],[Recipe]], Table7[Recipe], 0))</f>
        <v>#N/A</v>
      </c>
      <c r="D14" s="8" t="s">
        <v>13</v>
      </c>
      <c r="E14" s="8" t="s">
        <v>13</v>
      </c>
      <c r="F14" s="8"/>
      <c r="G14" s="8"/>
      <c r="H14" s="8"/>
      <c r="I14" s="8"/>
      <c r="J14" s="8" t="str" cm="1">
        <f t="array" ref="J14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14" s="8" t="str" cm="1">
        <f t="array" ref="K14">_xlfn.LET(_xlpm.recipeResults, _xlfn._xlws.FILTER(Table7[[Results 1]:[Results 4]], Table7[Recipe] = Table4[[#This Row],[Recipe]]),
     IFERROR(
     _xlfn._xlws.FILTER(_xlpm.recipeResults, ISNUMBER(SEARCH(K$3, _xlpm.recipeResults))), " - ") )</f>
        <v xml:space="preserve"> - </v>
      </c>
      <c r="L14" s="8"/>
      <c r="M14" s="8"/>
      <c r="N14" s="8" t="str" cm="1">
        <f t="array" ref="N14">_xlfn.LET(_xlpm.recipeResults, _xlfn._xlws.FILTER(Table7[[Results 1]:[Results 4]], Table7[Recipe] = Table4[[#This Row],[Recipe]]),
     IFERROR(
     _xlfn._xlws.FILTER(_xlpm.recipeResults, ISNUMBER(SEARCH(N$3, _xlpm.recipeResults))), " - ") )</f>
        <v xml:space="preserve"> - 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2:28">
      <c r="B15" t="s">
        <v>15</v>
      </c>
      <c r="C15" s="2" t="e">
        <f>INDEX(Table7[energy_required], MATCH(Table4[[#This Row],[Recipe]], Table7[Recipe], 0))</f>
        <v>#N/A</v>
      </c>
      <c r="D15" s="8"/>
      <c r="E15" s="8"/>
      <c r="F15" s="8" t="s">
        <v>13</v>
      </c>
      <c r="G15" s="8" t="s">
        <v>13</v>
      </c>
      <c r="H15" s="8"/>
      <c r="I15" s="8"/>
      <c r="J15" s="8" t="str" cm="1">
        <f t="array" ref="J15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15" s="8" t="str" cm="1">
        <f t="array" ref="K15">_xlfn.LET(_xlpm.recipeResults, _xlfn._xlws.FILTER(Table7[[Results 1]:[Results 4]], Table7[Recipe] = Table4[[#This Row],[Recipe]]),
     IFERROR(
     _xlfn._xlws.FILTER(_xlpm.recipeResults, ISNUMBER(SEARCH(K$3, _xlpm.recipeResults))), " - ") )</f>
        <v xml:space="preserve"> - </v>
      </c>
      <c r="L15" s="8"/>
      <c r="M15" s="8"/>
      <c r="N15" s="8" t="str" cm="1">
        <f t="array" ref="N15">_xlfn.LET(_xlpm.recipeResults, _xlfn._xlws.FILTER(Table7[[Results 1]:[Results 4]], Table7[Recipe] = Table4[[#This Row],[Recipe]]),
     IFERROR(
     _xlfn._xlws.FILTER(_xlpm.recipeResults, ISNUMBER(SEARCH(N$3, _xlpm.recipeResults))), " - ") )</f>
        <v xml:space="preserve"> - 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2:28">
      <c r="B16" t="s">
        <v>17</v>
      </c>
      <c r="C16" s="2" t="e">
        <f>INDEX(Table7[energy_required], MATCH(Table4[[#This Row],[Recipe]], Table7[Recipe], 0))</f>
        <v>#N/A</v>
      </c>
      <c r="D16" s="8"/>
      <c r="E16" s="8"/>
      <c r="F16" s="8"/>
      <c r="G16" s="8"/>
      <c r="H16" s="8" t="s">
        <v>13</v>
      </c>
      <c r="I16" s="8" t="s">
        <v>13</v>
      </c>
      <c r="J16" s="8" t="str" cm="1">
        <f t="array" ref="J16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16" s="8" t="str" cm="1">
        <f t="array" ref="K16">_xlfn.LET(_xlpm.recipeResults, _xlfn._xlws.FILTER(Table7[[Results 1]:[Results 4]], Table7[Recipe] = Table4[[#This Row],[Recipe]]),
     IFERROR(
     _xlfn._xlws.FILTER(_xlpm.recipeResults, ISNUMBER(SEARCH(K$3, _xlpm.recipeResults))), " - ") )</f>
        <v xml:space="preserve"> - </v>
      </c>
      <c r="L16" s="8"/>
      <c r="M16" s="8"/>
      <c r="N16" s="8" t="str" cm="1">
        <f t="array" ref="N16">_xlfn.LET(_xlpm.recipeResults, _xlfn._xlws.FILTER(Table7[[Results 1]:[Results 4]], Table7[Recipe] = Table4[[#This Row],[Recipe]]),
     IFERROR(
     _xlfn._xlws.FILTER(_xlpm.recipeResults, ISNUMBER(SEARCH(N$3, _xlpm.recipeResults))), " - ") )</f>
        <v xml:space="preserve"> - 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2:35">
      <c r="B17" t="s">
        <v>48</v>
      </c>
      <c r="C17" s="2">
        <f>INDEX(Table7[energy_required], MATCH(Table4[[#This Row],[Recipe]], Table7[Recipe], 0))</f>
        <v>5</v>
      </c>
      <c r="D17" s="8" t="str" cm="1">
        <f t="array" ref="D17">_xlfn.LET(_xlpm.recipeResults, _xlfn._xlws.FILTER(Table7[[Results 1]:[Results 4]], Table7[Recipe] = Table4[[#This Row],[Recipe]]),
     _xlfn._xlws.FILTER(_xlpm.recipeResults, ISNUMBER(SEARCH(D$3, _xlpm.recipeResults)), " - ") )</f>
        <v xml:space="preserve"> - </v>
      </c>
      <c r="E17" s="8" t="str" cm="1">
        <f t="array" ref="E17">_xlfn.LET(_xlpm.recipeResults, _xlfn._xlws.FILTER(Table7[[Results 1]:[Results 4]], Table7[Recipe] = Table4[[#This Row],[Recipe]]),
     _xlfn._xlws.FILTER(_xlpm.recipeResults, ISNUMBER(SEARCH(E$3, _xlpm.recipeResults)), " - ") )</f>
        <v xml:space="preserve"> - </v>
      </c>
      <c r="F17" s="8" t="str" cm="1">
        <f t="array" ref="F17">_xlfn.LET(_xlpm.recipeResults, _xlfn._xlws.FILTER(Table7[[Results 1]:[Results 4]], Table7[Recipe] = Table4[[#This Row],[Recipe]]),
     _xlfn._xlws.FILTER(_xlpm.recipeResults, ISNUMBER(SEARCH(F$3, _xlpm.recipeResults)), " - ") )</f>
        <v xml:space="preserve"> - </v>
      </c>
      <c r="G17" s="8" t="str" cm="1">
        <f t="array" ref="G17">_xlfn.LET(_xlpm.recipeResults, _xlfn._xlws.FILTER(Table7[[Results 1]:[Results 4]], Table7[Recipe] = Table4[[#This Row],[Recipe]]),
     _xlfn._xlws.FILTER(_xlpm.recipeResults, ISNUMBER(SEARCH(G$3, _xlpm.recipeResults)), " - ") )</f>
        <v xml:space="preserve"> - </v>
      </c>
      <c r="H17" s="8" t="str" cm="1">
        <f t="array" ref="H17">_xlfn.LET(_xlpm.recipeResults, _xlfn._xlws.FILTER(Table7[[Results 1]:[Results 4]], Table7[Recipe] = Table4[[#This Row],[Recipe]]),
     _xlfn._xlws.FILTER(_xlpm.recipeResults, ISNUMBER(SEARCH(H$3, _xlpm.recipeResults)), " - ") )</f>
        <v xml:space="preserve"> - </v>
      </c>
      <c r="I17" s="8" t="str" cm="1">
        <f t="array" ref="I17">_xlfn.LET(_xlpm.recipeResults, _xlfn._xlws.FILTER(Table7[[Results 1]:[Results 4]], Table7[Recipe] = Table4[[#This Row],[Recipe]]),
     _xlfn._xlws.FILTER(_xlpm.recipeResults, ISNUMBER(SEARCH(I$3, _xlpm.recipeResults)), " - ") )</f>
        <v xml:space="preserve"> - </v>
      </c>
      <c r="J17" s="8" t="str" cm="1">
        <f t="array" ref="J17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17" s="8" t="str" cm="1">
        <f t="array" ref="K17">_xlfn.LET(_xlpm.recipeResults, _xlfn._xlws.FILTER(Table7[[Results 1]:[Results 4]], Table7[Recipe] = Table4[[#This Row],[Recipe]]),
     IFERROR(
     _xlfn._xlws.FILTER(_xlpm.recipeResults, ISNUMBER(SEARCH(K$3, _xlpm.recipeResults))), " - ") )</f>
        <v xml:space="preserve"> - </v>
      </c>
      <c r="L17" s="8" t="str" cm="1">
        <f t="array" ref="L17">_xlfn.LET(_xlpm.recipeResults, _xlfn._xlws.FILTER(Table7[[Results 1]:[Results 4]], Table7[Recipe] = Table4[[#This Row],[Recipe]]),
     _xlfn._xlws.FILTER(_xlpm.recipeResults, ISNUMBER(SEARCH(L$3, _xlpm.recipeResults)), " - ") )</f>
        <v xml:space="preserve"> - </v>
      </c>
      <c r="M17" s="8" t="str" cm="1">
        <f t="array" ref="M17">_xlfn.LET(_xlpm.recipeResults, _xlfn._xlws.FILTER(Table7[[Results 1]:[Results 4]], Table7[Recipe] = Table4[[#This Row],[Recipe]]),
     IFERROR(
     _xlfn._xlws.FILTER(_xlpm.recipeResults, ISNUMBER(SEARCH(M$3, _xlpm.recipeResults))), " - ") )</f>
        <v>{ type = "item", name = "stone", amount_min = 4, amount_max = 8, probability = 1 }</v>
      </c>
      <c r="N17" s="8" t="str" cm="1">
        <f t="array" ref="N17">_xlfn.LET(_xlpm.recipeResults, _xlfn._xlws.FILTER(Table7[[Results 1]:[Results 4]], Table7[Recipe] = Table4[[#This Row],[Recipe]]),
     IFERROR(
     _xlfn._xlws.FILTER(_xlpm.recipeResults, ISNUMBER(SEARCH(N$3, _xlpm.recipeResults))), " - ") )</f>
        <v>{ type = "item", name = "uranium-ore", amount_min = 1, amount_max = 13, probability = 0.4 }</v>
      </c>
      <c r="O17" s="8" t="str" cm="1">
        <f t="array" ref="O17">_xlfn.LET(_xlpm.recipeResults, _xlfn._xlws.FILTER(Table7[[Results 1]:[Results 4]], Table7[Recipe] = Table4[[#This Row],[Recipe]]),
     _xlfn._xlws.FILTER(_xlpm.recipeResults, ISNUMBER(SEARCH(O$3, _xlpm.recipeResults)), " - ") )</f>
        <v xml:space="preserve"> - </v>
      </c>
      <c r="P17" s="8" t="str" cm="1">
        <f t="array" ref="P17">_xlfn.LET(_xlpm.recipeResults, _xlfn._xlws.FILTER(Table7[[Results 1]:[Results 4]], Table7[Recipe] = Table4[[#This Row],[Recipe]]),
     _xlfn._xlws.FILTER(_xlpm.recipeResults, ISNUMBER(SEARCH(P$3, _xlpm.recipeResults)), " - ") )</f>
        <v xml:space="preserve"> - </v>
      </c>
      <c r="Q17" s="8" t="str" cm="1">
        <f t="array" ref="Q17">_xlfn.LET(_xlpm.recipeResults, _xlfn._xlws.FILTER(Table7[[Results 1]:[Results 4]], Table7[Recipe] = Table4[[#This Row],[Recipe]]),
     _xlfn._xlws.FILTER(_xlpm.recipeResults, ISNUMBER(SEARCH(Q$3, _xlpm.recipeResults)), " - ") )</f>
        <v xml:space="preserve"> - </v>
      </c>
      <c r="R17" s="8" t="str" cm="1">
        <f t="array" ref="R17">_xlfn.LET(_xlpm.recipeResults, _xlfn._xlws.FILTER(Table7[[Results 1]:[Results 4]], Table7[Recipe] = Table4[[#This Row],[Recipe]]),
     _xlfn._xlws.FILTER(_xlpm.recipeResults, ISNUMBER(SEARCH(R$3, _xlpm.recipeResults)), " - ") )</f>
        <v xml:space="preserve"> - </v>
      </c>
      <c r="S17" s="8" t="str" cm="1">
        <f t="array" ref="S17">_xlfn.LET(_xlpm.recipeResults, _xlfn._xlws.FILTER(Table7[[Results 1]:[Results 4]], Table7[Recipe] = Table4[[#This Row],[Recipe]]),
     _xlfn._xlws.FILTER(_xlpm.recipeResults, ISNUMBER(SEARCH(S$3, _xlpm.recipeResults)), " - ") )</f>
        <v xml:space="preserve"> - </v>
      </c>
      <c r="T17" s="8" t="str" cm="1">
        <f t="array" ref="T17">_xlfn.LET(_xlpm.recipeResults, _xlfn._xlws.FILTER(Table7[[Results 1]:[Results 4]], Table7[Recipe] = Table4[[#This Row],[Recipe]]),
     _xlfn._xlws.FILTER(_xlpm.recipeResults, ISNUMBER(SEARCH(T$3, _xlpm.recipeResults)), " - ") )</f>
        <v xml:space="preserve"> - </v>
      </c>
      <c r="U17" s="8" t="str" cm="1">
        <f t="array" ref="U17">_xlfn.LET(_xlpm.recipeResults, _xlfn._xlws.FILTER(Table7[[Results 1]:[Results 4]], Table7[Recipe] = Table4[[#This Row],[Recipe]]),
     _xlfn._xlws.FILTER(_xlpm.recipeResults, ISNUMBER(SEARCH(U$3, _xlpm.recipeResults)), " - ") )</f>
        <v xml:space="preserve"> - </v>
      </c>
      <c r="V17" s="8" t="str" cm="1">
        <f t="array" ref="V17">_xlfn.LET(_xlpm.recipeResults, _xlfn._xlws.FILTER(Table7[[Results 1]:[Results 4]], Table7[Recipe] = Table4[[#This Row],[Recipe]]),
     _xlfn._xlws.FILTER(_xlpm.recipeResults, ISNUMBER(SEARCH(V$3, _xlpm.recipeResults)), " - ") )</f>
        <v xml:space="preserve"> - </v>
      </c>
      <c r="W17" s="8" t="str" cm="1">
        <f t="array" ref="W17">_xlfn.LET(_xlpm.recipeResults, _xlfn._xlws.FILTER(Table7[[Results 1]:[Results 4]], Table7[Recipe] = Table4[[#This Row],[Recipe]]),
     _xlfn._xlws.FILTER(_xlpm.recipeResults, ISNUMBER(SEARCH(W$3, _xlpm.recipeResults)), " - ") )</f>
        <v xml:space="preserve"> - </v>
      </c>
      <c r="X17" s="8" t="str" cm="1">
        <f t="array" ref="X17">_xlfn.LET(_xlpm.recipeResults, _xlfn._xlws.FILTER(Table7[[Results 1]:[Results 4]], Table7[Recipe] = Table4[[#This Row],[Recipe]]),
     _xlfn._xlws.FILTER(_xlpm.recipeResults, ISNUMBER(SEARCH(X$3, _xlpm.recipeResults)), " - ") )</f>
        <v xml:space="preserve"> - </v>
      </c>
      <c r="Y17" s="8" t="str" cm="1">
        <f t="array" ref="Y17">_xlfn.LET(_xlpm.recipeResults, _xlfn._xlws.FILTER(Table7[[Results 1]:[Results 4]], Table7[Recipe] = Table4[[#This Row],[Recipe]]),
     _xlfn._xlws.FILTER(_xlpm.recipeResults, ISNUMBER(SEARCH(Y$3, _xlpm.recipeResults)), " - ") )</f>
        <v xml:space="preserve"> - </v>
      </c>
      <c r="Z17" s="8" t="str" cm="1">
        <f t="array" ref="Z17">_xlfn.LET(_xlpm.recipeResults, _xlfn._xlws.FILTER(Table7[[Results 1]:[Results 4]], Table7[Recipe] = Table4[[#This Row],[Recipe]]),
     _xlfn._xlws.FILTER(_xlpm.recipeResults, ISNUMBER(SEARCH(Z$3, _xlpm.recipeResults)), " - ") )</f>
        <v xml:space="preserve"> - </v>
      </c>
      <c r="AA17" s="8" t="str" cm="1">
        <f t="array" ref="AA17">_xlfn.LET(_xlpm.recipeResults, _xlfn._xlws.FILTER(Table7[[Results 1]:[Results 4]], Table7[Recipe] = Table4[[#This Row],[Recipe]]),
     _xlfn._xlws.FILTER(_xlpm.recipeResults, ISNUMBER(SEARCH(AA$3, _xlpm.recipeResults)), " - ") )</f>
        <v xml:space="preserve"> - </v>
      </c>
      <c r="AB17" s="8" t="str" cm="1">
        <f t="array" ref="AB17">_xlfn.LET(_xlpm.recipeResults, _xlfn._xlws.FILTER(Table7[[Results 1]:[Results 4]], Table7[Recipe] = Table4[[#This Row],[Recipe]]),
     _xlfn._xlws.FILTER(_xlpm.recipeResults, ISNUMBER(SEARCH(AB$3, _xlpm.recipeResults)), " - ") )</f>
        <v xml:space="preserve"> - </v>
      </c>
      <c r="AE17" t="str" cm="1">
        <f t="array" ref="AE17:AI17">_xlfn._xlws.FILTER( _xlfn._xlws.FILTER(Table7[], Table7[Recipe] = Table4[[#This Row],[Recipe]]),
         ISNUMBER(SEARCH("Results", Table7[#Headers])) )</f>
        <v>{ type = "item", name = "stone", amount_min = 4, amount_max = 8, probability = 1 }</v>
      </c>
      <c r="AF17" t="str">
        <v>{ type = "item", name = "uranium-ore", amount_min = 1, amount_max = 13, probability = 0.4 }</v>
      </c>
      <c r="AG17" t="b">
        <v>0</v>
      </c>
      <c r="AH17" t="str">
        <v>{ type = "item", name = "nauvis-asteroid-chunk-item", amount_min = 1, amount_max = 1, probability = 0.05 }</v>
      </c>
      <c r="AI17" t="str">
        <v>{ 
    { type = "item", name = "stone", amount_min = 4, amount_max = 8, probability = 1 }, 
    { type = "item", name = "uranium-ore", amount_min = 1, amount_max = 13, probability = 0.4 }, 
    { type = "item", name = "nauvis-asteroid-chunk-item", amount_min = 1, amount_max = 1, probability = 0.05 } 
}</v>
      </c>
    </row>
    <row r="18" spans="2:35">
      <c r="B18" t="s">
        <v>20</v>
      </c>
      <c r="C18" s="2" t="e">
        <f>INDEX(Table7[energy_required], MATCH(Table4[[#This Row],[Recipe]], Table7[Recipe], 0))</f>
        <v>#N/A</v>
      </c>
      <c r="D18" s="8"/>
      <c r="E18" s="8"/>
      <c r="F18" s="8"/>
      <c r="G18" s="8"/>
      <c r="H18" s="8"/>
      <c r="I18" s="8"/>
      <c r="J18" s="8" t="str" cm="1">
        <f t="array" ref="J18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18" s="8" t="str" cm="1">
        <f t="array" ref="K18">_xlfn.LET(_xlpm.recipeResults, _xlfn._xlws.FILTER(Table7[[Results 1]:[Results 4]], Table7[Recipe] = Table4[[#This Row],[Recipe]]),
     IFERROR(
     _xlfn._xlws.FILTER(_xlpm.recipeResults, ISNUMBER(SEARCH(K$3, _xlpm.recipeResults))), " - ") )</f>
        <v xml:space="preserve"> - </v>
      </c>
      <c r="L18" s="8"/>
      <c r="M18" s="8"/>
      <c r="N18" s="8" t="str" cm="1">
        <f t="array" ref="N18">_xlfn.LET(_xlpm.recipeResults, _xlfn._xlws.FILTER(Table7[[Results 1]:[Results 4]], Table7[Recipe] = Table4[[#This Row],[Recipe]]),
     IFERROR(
     _xlfn._xlws.FILTER(_xlpm.recipeResults, ISNUMBER(SEARCH(N$3, _xlpm.recipeResults))), " - ") )</f>
        <v xml:space="preserve"> - 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I18" t="e" cm="1" vm="1">
        <f t="array" ref="AI18">_xlfn.LET(_xlpm.recipeResults, _xlfn._xlws.FILTER(Table7[[Results 1]:[Results 4]], Table7[Recipe] = Table4[[#This Row],[Recipe]]),
     _xlfn._xlws.FILTER(_xlpm.recipeResults, ISNUMBER(SEARCH(Table4[[#Headers],[stone]], _xlpm.recipeResults))) )</f>
        <v>#VALUE!</v>
      </c>
    </row>
    <row r="19" spans="2:35">
      <c r="B19" t="s">
        <v>21</v>
      </c>
      <c r="C19" s="2" t="e">
        <f>INDEX(Table7[energy_required], MATCH(Table4[[#This Row],[Recipe]], Table7[Recipe], 0))</f>
        <v>#N/A</v>
      </c>
      <c r="D19" s="8"/>
      <c r="E19" s="8"/>
      <c r="F19" s="8"/>
      <c r="G19" s="8"/>
      <c r="H19" s="8"/>
      <c r="I19" s="8"/>
      <c r="J19" s="8" t="str" cm="1">
        <f t="array" ref="J19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19" s="8" t="str" cm="1">
        <f t="array" ref="K19">_xlfn.LET(_xlpm.recipeResults, _xlfn._xlws.FILTER(Table7[[Results 1]:[Results 4]], Table7[Recipe] = Table4[[#This Row],[Recipe]]),
     IFERROR(
     _xlfn._xlws.FILTER(_xlpm.recipeResults, ISNUMBER(SEARCH(K$3, _xlpm.recipeResults))), " - ") )</f>
        <v xml:space="preserve"> - </v>
      </c>
      <c r="L19" s="8"/>
      <c r="M19" s="8"/>
      <c r="N19" s="8" t="str" cm="1">
        <f t="array" ref="N19">_xlfn.LET(_xlpm.recipeResults, _xlfn._xlws.FILTER(Table7[[Results 1]:[Results 4]], Table7[Recipe] = Table4[[#This Row],[Recipe]]),
     IFERROR(
     _xlfn._xlws.FILTER(_xlpm.recipeResults, ISNUMBER(SEARCH(N$3, _xlpm.recipeResults))), " - ") )</f>
        <v xml:space="preserve"> - </v>
      </c>
      <c r="O19" s="8"/>
      <c r="P19" s="8"/>
      <c r="Q19" s="8"/>
      <c r="R19" s="8"/>
      <c r="S19" s="8"/>
      <c r="T19" s="8" t="s">
        <v>13</v>
      </c>
      <c r="U19" s="8" t="s">
        <v>13</v>
      </c>
      <c r="V19" s="8" t="s">
        <v>13</v>
      </c>
      <c r="W19" s="8" t="s">
        <v>13</v>
      </c>
      <c r="X19" s="8"/>
      <c r="Y19" s="8"/>
      <c r="Z19" s="8"/>
      <c r="AA19" s="8"/>
      <c r="AB19" s="8"/>
    </row>
    <row r="20" spans="2:35">
      <c r="B20" t="s">
        <v>22</v>
      </c>
      <c r="C20" s="2" t="e">
        <f>INDEX(Table7[energy_required], MATCH(Table4[[#This Row],[Recipe]], Table7[Recipe], 0))</f>
        <v>#N/A</v>
      </c>
      <c r="D20" s="8"/>
      <c r="E20" s="8"/>
      <c r="F20" s="8"/>
      <c r="G20" s="8"/>
      <c r="H20" s="8"/>
      <c r="I20" s="8"/>
      <c r="J20" s="8" t="str" cm="1">
        <f t="array" ref="J20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20" s="8" t="str" cm="1">
        <f t="array" ref="K20">_xlfn.LET(_xlpm.recipeResults, _xlfn._xlws.FILTER(Table7[[Results 1]:[Results 4]], Table7[Recipe] = Table4[[#This Row],[Recipe]]),
     IFERROR(
     _xlfn._xlws.FILTER(_xlpm.recipeResults, ISNUMBER(SEARCH(K$3, _xlpm.recipeResults))), " - ") )</f>
        <v xml:space="preserve"> - </v>
      </c>
      <c r="L20" s="8"/>
      <c r="M20" s="8"/>
      <c r="N20" s="8" t="str" cm="1">
        <f t="array" ref="N20">_xlfn.LET(_xlpm.recipeResults, _xlfn._xlws.FILTER(Table7[[Results 1]:[Results 4]], Table7[Recipe] = Table4[[#This Row],[Recipe]]),
     IFERROR(
     _xlfn._xlws.FILTER(_xlpm.recipeResults, ISNUMBER(SEARCH(N$3, _xlpm.recipeResults))), " - ") )</f>
        <v xml:space="preserve"> - </v>
      </c>
      <c r="O20" s="8"/>
      <c r="P20" s="8"/>
      <c r="Q20" s="8"/>
      <c r="R20" s="8"/>
      <c r="S20" s="8"/>
      <c r="T20" s="8"/>
      <c r="U20" s="8"/>
      <c r="V20" s="8"/>
      <c r="W20" s="8"/>
      <c r="X20" s="8" t="s">
        <v>13</v>
      </c>
      <c r="Y20" s="8" t="s">
        <v>13</v>
      </c>
      <c r="Z20" s="8" t="s">
        <v>13</v>
      </c>
      <c r="AA20" s="8"/>
      <c r="AB20" s="8"/>
    </row>
    <row r="21" spans="2:35">
      <c r="B21" t="s">
        <v>24</v>
      </c>
      <c r="C21" s="2" t="e">
        <f>INDEX(Table7[energy_required], MATCH(Table4[[#This Row],[Recipe]], Table7[Recipe], 0))</f>
        <v>#N/A</v>
      </c>
      <c r="D21" s="8"/>
      <c r="E21" s="8"/>
      <c r="F21" s="8"/>
      <c r="G21" s="8"/>
      <c r="H21" s="8"/>
      <c r="I21" s="8"/>
      <c r="J21" s="8" t="str" cm="1">
        <f t="array" ref="J21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21" s="8" t="str" cm="1">
        <f t="array" ref="K21">_xlfn.LET(_xlpm.recipeResults, _xlfn._xlws.FILTER(Table7[[Results 1]:[Results 4]], Table7[Recipe] = Table4[[#This Row],[Recipe]]),
     IFERROR(
     _xlfn._xlws.FILTER(_xlpm.recipeResults, ISNUMBER(SEARCH(K$3, _xlpm.recipeResults))), " - ") )</f>
        <v xml:space="preserve"> - </v>
      </c>
      <c r="L21" s="8"/>
      <c r="M21" s="8"/>
      <c r="N21" s="8" t="str" cm="1">
        <f t="array" ref="N21">_xlfn.LET(_xlpm.recipeResults, _xlfn._xlws.FILTER(Table7[[Results 1]:[Results 4]], Table7[Recipe] = Table4[[#This Row],[Recipe]]),
     IFERROR(
     _xlfn._xlws.FILTER(_xlpm.recipeResults, ISNUMBER(SEARCH(N$3, _xlpm.recipeResults))), " - ") )</f>
        <v xml:space="preserve"> - </v>
      </c>
      <c r="O21" s="8" t="s">
        <v>13</v>
      </c>
      <c r="P21" s="8" t="s">
        <v>13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2:35">
      <c r="B22" t="s">
        <v>25</v>
      </c>
      <c r="C22" s="2" t="e">
        <f>INDEX(Table7[energy_required], MATCH(Table4[[#This Row],[Recipe]], Table7[Recipe], 0))</f>
        <v>#N/A</v>
      </c>
      <c r="D22" s="8"/>
      <c r="E22" s="8"/>
      <c r="F22" s="8"/>
      <c r="G22" s="8"/>
      <c r="H22" s="8"/>
      <c r="I22" s="8"/>
      <c r="J22" s="8" t="str" cm="1">
        <f t="array" ref="J22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22" s="8" t="str" cm="1">
        <f t="array" ref="K22">_xlfn.LET(_xlpm.recipeResults, _xlfn._xlws.FILTER(Table7[[Results 1]:[Results 4]], Table7[Recipe] = Table4[[#This Row],[Recipe]]),
     IFERROR(
     _xlfn._xlws.FILTER(_xlpm.recipeResults, ISNUMBER(SEARCH(K$3, _xlpm.recipeResults))), " - ") )</f>
        <v xml:space="preserve"> - </v>
      </c>
      <c r="L22" s="8"/>
      <c r="M22" s="8"/>
      <c r="N22" s="8" t="str" cm="1">
        <f t="array" ref="N22">_xlfn.LET(_xlpm.recipeResults, _xlfn._xlws.FILTER(Table7[[Results 1]:[Results 4]], Table7[Recipe] = Table4[[#This Row],[Recipe]]),
     IFERROR(
     _xlfn._xlws.FILTER(_xlpm.recipeResults, ISNUMBER(SEARCH(N$3, _xlpm.recipeResults))), " - ") )</f>
        <v xml:space="preserve"> - </v>
      </c>
      <c r="O22" s="8"/>
      <c r="P22" s="8"/>
      <c r="Q22" s="8" t="s">
        <v>13</v>
      </c>
      <c r="R22" s="8" t="s">
        <v>13</v>
      </c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2:35">
      <c r="B23" t="s">
        <v>26</v>
      </c>
      <c r="C23" s="2" t="e">
        <f>INDEX(Table7[energy_required], MATCH(Table4[[#This Row],[Recipe]], Table7[Recipe], 0))</f>
        <v>#N/A</v>
      </c>
      <c r="D23" s="8"/>
      <c r="E23" s="8"/>
      <c r="F23" s="8"/>
      <c r="G23" s="8"/>
      <c r="H23" s="8"/>
      <c r="I23" s="8"/>
      <c r="J23" s="8" t="str" cm="1">
        <f t="array" ref="J23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23" s="8" t="str" cm="1">
        <f t="array" ref="K23">_xlfn.LET(_xlpm.recipeResults, _xlfn._xlws.FILTER(Table7[[Results 1]:[Results 4]], Table7[Recipe] = Table4[[#This Row],[Recipe]]),
     IFERROR(
     _xlfn._xlws.FILTER(_xlpm.recipeResults, ISNUMBER(SEARCH(K$3, _xlpm.recipeResults))), " - ") )</f>
        <v xml:space="preserve"> - </v>
      </c>
      <c r="L23" s="8"/>
      <c r="M23" s="8"/>
      <c r="N23" s="8" t="str" cm="1">
        <f t="array" ref="N23">_xlfn.LET(_xlpm.recipeResults, _xlfn._xlws.FILTER(Table7[[Results 1]:[Results 4]], Table7[Recipe] = Table4[[#This Row],[Recipe]]),
     IFERROR(
     _xlfn._xlws.FILTER(_xlpm.recipeResults, ISNUMBER(SEARCH(N$3, _xlpm.recipeResults))), " - ") )</f>
        <v xml:space="preserve"> - 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 t="s">
        <v>13</v>
      </c>
      <c r="AE23" t="s">
        <v>49</v>
      </c>
    </row>
    <row r="24" spans="2:35">
      <c r="B24" t="s">
        <v>27</v>
      </c>
      <c r="C24" s="2" t="e">
        <f>INDEX(Table7[energy_required], MATCH(Table4[[#This Row],[Recipe]], Table7[Recipe], 0))</f>
        <v>#N/A</v>
      </c>
      <c r="D24" s="8"/>
      <c r="E24" s="8"/>
      <c r="F24" s="8"/>
      <c r="G24" s="8"/>
      <c r="H24" s="8"/>
      <c r="I24" s="8"/>
      <c r="J24" s="8" t="str" cm="1">
        <f t="array" ref="J24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24" s="8" t="str" cm="1">
        <f t="array" ref="K24">_xlfn.LET(_xlpm.recipeResults, _xlfn._xlws.FILTER(Table7[[Results 1]:[Results 4]], Table7[Recipe] = Table4[[#This Row],[Recipe]]),
     IFERROR(
     _xlfn._xlws.FILTER(_xlpm.recipeResults, ISNUMBER(SEARCH(K$3, _xlpm.recipeResults))), " - ") )</f>
        <v xml:space="preserve"> - </v>
      </c>
      <c r="L24" s="8"/>
      <c r="M24" s="8"/>
      <c r="N24" s="8" t="str" cm="1">
        <f t="array" ref="N24">_xlfn.LET(_xlpm.recipeResults, _xlfn._xlws.FILTER(Table7[[Results 1]:[Results 4]], Table7[Recipe] = Table4[[#This Row],[Recipe]]),
     IFERROR(
     _xlfn._xlws.FILTER(_xlpm.recipeResults, ISNUMBER(SEARCH(N$3, _xlpm.recipeResults))), " - ") )</f>
        <v xml:space="preserve"> - 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E24" t="s">
        <v>50</v>
      </c>
    </row>
    <row r="25" spans="2:35">
      <c r="B25" t="s">
        <v>28</v>
      </c>
      <c r="C25" s="2" t="e">
        <f>INDEX(Table7[energy_required], MATCH(Table4[[#This Row],[Recipe]], Table7[Recipe], 0))</f>
        <v>#N/A</v>
      </c>
      <c r="D25" s="8"/>
      <c r="E25" s="8"/>
      <c r="F25" s="8"/>
      <c r="G25" s="8"/>
      <c r="H25" s="8"/>
      <c r="I25" s="8"/>
      <c r="J25" s="8" t="str" cm="1">
        <f t="array" ref="J25">_xlfn.LET(_xlpm.recipeResults, _xlfn._xlws.FILTER(Table7[[Results 1]:[Results 4]], Table7[Recipe] = Table4[[#This Row],[Recipe]]),
     IFERROR(
     _xlfn._xlws.FILTER(_xlpm.recipeResults, ISNUMBER(SEARCH(J$3, _xlpm.recipeResults))), " - ") )</f>
        <v xml:space="preserve"> - </v>
      </c>
      <c r="K25" s="8" t="str" cm="1">
        <f t="array" ref="K25">_xlfn.LET(_xlpm.recipeResults, _xlfn._xlws.FILTER(Table7[[Results 1]:[Results 4]], Table7[Recipe] = Table4[[#This Row],[Recipe]]),
     IFERROR(
     _xlfn._xlws.FILTER(_xlpm.recipeResults, ISNUMBER(SEARCH(K$3, _xlpm.recipeResults))), " - ") )</f>
        <v xml:space="preserve"> - </v>
      </c>
      <c r="L25" s="8"/>
      <c r="M25" s="8"/>
      <c r="N25" s="8" t="str" cm="1">
        <f t="array" ref="N25">_xlfn.LET(_xlpm.recipeResults, _xlfn._xlws.FILTER(Table7[[Results 1]:[Results 4]], Table7[Recipe] = Table4[[#This Row],[Recipe]]),
     IFERROR(
     _xlfn._xlws.FILTER(_xlpm.recipeResults, ISNUMBER(SEARCH(N$3, _xlpm.recipeResults))), " - ") )</f>
        <v xml:space="preserve"> - 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E25">
        <v>0</v>
      </c>
    </row>
    <row r="26" spans="2:35">
      <c r="AE26">
        <v>0</v>
      </c>
    </row>
    <row r="28" spans="2:35">
      <c r="L28" s="2" t="e">
        <f>_xlfn.TEXTBEFORE(_xlfn.TEXTAFTER(SUBSTITUTE(L7, "}", ","), "amount_max = "), ",", , , , 0)</f>
        <v>#N/A</v>
      </c>
      <c r="AE28" s="7" t="s">
        <v>66</v>
      </c>
    </row>
    <row r="29" spans="2:35">
      <c r="L29" s="2" t="e">
        <f>_xlfn.TEXTBEFORE(_xlfn.TEXTAFTER(SUBSTITUTE(L7, "}", ","), "amount_min = "), ",", , , , 0)</f>
        <v>#N/A</v>
      </c>
    </row>
    <row r="30" spans="2:35">
      <c r="L30" s="2" t="e">
        <f>_xlfn.TEXTBEFORE(_xlfn.TEXTAFTER(SUBSTITUTE(L7, "}", ","), "amount = "), ",", , , , 0)</f>
        <v>#N/A</v>
      </c>
    </row>
    <row r="31" spans="2:35">
      <c r="L31" s="2" t="e">
        <f>_xlfn.TEXTBEFORE(_xlfn.TEXTAFTER(SUBSTITUTE(L7, "}", ","), "probability = "), ",", , , , 0)</f>
        <v>#N/A</v>
      </c>
    </row>
    <row r="38" spans="14:14">
      <c r="N38" s="2" t="str">
        <f>_xlfn.TEXTBEFORE(_xlfn.TEXTAFTER(SUBSTITUTE(N17, "}", ","), "amount_max = "), ",", , , , 0)</f>
        <v>13</v>
      </c>
    </row>
    <row r="39" spans="14:14">
      <c r="N39" s="2" t="str">
        <f>_xlfn.TEXTBEFORE(_xlfn.TEXTAFTER(SUBSTITUTE(N17, "}", ","), "amount_min = "), ",", , , , 0)</f>
        <v>1</v>
      </c>
    </row>
    <row r="40" spans="14:14">
      <c r="N40" s="2" t="e">
        <f>_xlfn.TEXTBEFORE(_xlfn.TEXTAFTER(SUBSTITUTE(N17, "}", ","), "amount = "), ",", , , , 0)</f>
        <v>#N/A</v>
      </c>
    </row>
    <row r="41" spans="14:14">
      <c r="N41" s="2" t="str">
        <f>_xlfn.TEXTBEFORE(_xlfn.TEXTAFTER(SUBSTITUTE(N17, "}", ","), "probability = "), ",", , , , 0)</f>
        <v xml:space="preserve">0.4 </v>
      </c>
    </row>
  </sheetData>
  <phoneticPr fontId="1" type="noConversion"/>
  <conditionalFormatting sqref="B17:AB17">
    <cfRule type="expression" dxfId="3" priority="1" stopIfTrue="1">
      <formula>TRUE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93FD2-BC79-4DE4-945B-7AF801A57BBD}">
  <sheetPr codeName="Sheet2"/>
  <dimension ref="A1:Q23"/>
  <sheetViews>
    <sheetView tabSelected="1" workbookViewId="0">
      <selection activeCell="B4" sqref="B4"/>
    </sheetView>
  </sheetViews>
  <sheetFormatPr defaultRowHeight="14.25"/>
  <cols>
    <col min="2" max="2" width="23.75" customWidth="1"/>
    <col min="3" max="3" width="13.375" customWidth="1"/>
    <col min="4" max="4" width="35" bestFit="1" customWidth="1"/>
    <col min="5" max="5" width="16.625" bestFit="1" customWidth="1"/>
    <col min="6" max="6" width="8.125" bestFit="1" customWidth="1"/>
    <col min="7" max="7" width="54.625" bestFit="1" customWidth="1"/>
    <col min="8" max="8" width="12.375" bestFit="1" customWidth="1"/>
    <col min="9" max="9" width="12.375" customWidth="1"/>
    <col min="11" max="11" width="23.75" customWidth="1"/>
    <col min="12" max="12" width="16.625" customWidth="1"/>
    <col min="13" max="13" width="35" bestFit="1" customWidth="1"/>
    <col min="14" max="14" width="52.625" customWidth="1"/>
    <col min="15" max="15" width="10" customWidth="1"/>
    <col min="16" max="16" width="54.625" bestFit="1" customWidth="1"/>
  </cols>
  <sheetData>
    <row r="1" spans="1:17" ht="15.75" thickBot="1">
      <c r="B1" s="5"/>
    </row>
    <row r="2" spans="1:17" ht="24" customHeight="1" thickTop="1" thickBot="1">
      <c r="A2" t="s">
        <v>232</v>
      </c>
      <c r="B2" s="18" t="str" cm="1">
        <f t="array" ref="B2">_xlfn.TEXTJOIN("
", TRUE, "local " &amp; Chunk_Items[Variable''s Name] &amp; " = " &amp; $B$6)</f>
        <v>local crude_asteroid_chunk_item = table.deepcopy(data.raw.item["metallic-asteroid-chunk"])
local nauvis_asteroid_chunk_item = table.deepcopy(data.raw.item["metallic-asteroid-chunk"])
local vulcanus_asteroid_chunk_item = table.deepcopy(data.raw.item["metallic-asteroid-chunk"])
local gleba_asteroid_chunk_item = table.deepcopy(data.raw.item["metallic-asteroid-chunk"])
local fulgora_asteroid_chunk_item = table.deepcopy(data.raw.item["metallic-asteroid-chunk"])</v>
      </c>
      <c r="J2" t="s">
        <v>232</v>
      </c>
      <c r="K2" s="18" t="str" cm="1">
        <f t="array" ref="K2">_xlfn.TEXTJOIN("
", TRUE, "local " &amp; Chunks[Variable''s Name] &amp; " = " &amp; $K$6)</f>
        <v>local crude_asteroid_chunk = table.deepcopy(data.raw["asteroid-chunk"]["metallic-asteroid-chunk"])
local nauvis_asteroid_chunk = table.deepcopy(data.raw["asteroid-chunk"]["metallic-asteroid-chunk"])
local vulcanus_asteroid_chunk = table.deepcopy(data.raw["asteroid-chunk"]["metallic-asteroid-chunk"])
local gleba_asteroid_chunk = table.deepcopy(data.raw["asteroid-chunk"]["metallic-asteroid-chunk"])
local fulgora_asteroid_chunk = table.deepcopy(data.raw["asteroid-chunk"]["metallic-asteroid-chunk"])</v>
      </c>
    </row>
    <row r="3" spans="1:17" ht="15.75" thickTop="1" thickBot="1"/>
    <row r="4" spans="1:17" ht="19.5" customHeight="1" thickTop="1" thickBot="1">
      <c r="A4" t="s">
        <v>233</v>
      </c>
      <c r="B4" s="13" t="str">
        <f>_xlfn.TEXTJOIN("
", TRUE, Chunk_Items[full string])</f>
        <v>crude_asteroid_chunk_item.name = "crude-asteroid-chunk-item"
crude_asteroid_chunk_item.type = "item"
crude_asteroid_chunk_item.subgroup = "space-material"
crude_asteroid_chunk_item.order = "f"
crude_asteroid_chunk_item.icon = "__Astra-Asteroids__/graphics/crude_asteroid_chunk.png"
crude_asteroid_chunk_item.stack_size = 1
nauvis_asteroid_chunk_item.name = "nauvis-asteroid-chunk-item"
nauvis_asteroid_chunk_item.type = "item"
nauvis_asteroid_chunk_item.subgroup = "space-material"
nauvis_asteroid_chunk_item.order = "f"
nauvis_asteroid_chunk_item.icon = "__Astra-Asteroids__/graphics/nauvis_asteroid_chunk.png"
nauvis_asteroid_chunk_item.stack_size = 1
vulcanus_asteroid_chunk_item.name = "vulcanic-asteroid-chunk-item"
vulcanus_asteroid_chunk_item.type = "item"
vulcanus_asteroid_chunk_item.subgroup = "space-material"
vulcanus_asteroid_chunk_item.order = "v"
vulcanus_asteroid_chunk_item.icon = "__Astra-Asteroids__/graphics/vulcanus_asteroid_chunk.png"
vulcanus_asteroid_chunk_item.stack_size = 1
gleba_asteroid_chunk_item.name = "gleba-asteroid-chunk-item"
gleba_asteroid_chunk_item.type = "item"
gleba_asteroid_chunk_item.subgroup = "space-material"
gleba_asteroid_chunk_item.order = "g"
gleba_asteroid_chunk_item.icon = "__Astra-Asteroids__/graphics/gleba_asteroid_chunk.png"
gleba_asteroid_chunk_item.stack_size = 1
fulgora_asteroid_chunk_item.name = "fulgoran-asteroid-chunk-item"
fulgora_asteroid_chunk_item.type = "item"
fulgora_asteroid_chunk_item.subgroup = "space-material"
fulgora_asteroid_chunk_item.order = "f"
fulgora_asteroid_chunk_item.icon = "__Astra-Asteroids__/graphics/fulgoran_asteroid_chunk.png"
fulgora_asteroid_chunk_item.stack_size = 1</v>
      </c>
      <c r="J4" t="s">
        <v>233</v>
      </c>
      <c r="K4" s="13" t="str">
        <f>_xlfn.TEXTJOIN("
", TRUE, Chunks[full string])</f>
        <v>crude_asteroid_chunk.name = "crude-asteroid-chunk"
crude_asteroid_chunk.type = "asteroid-chunk"
crude_asteroid_chunk.minable = {mining_time = 0.2, result = "crude_asteroid_chunk_item"}
crude_asteroid_chunk.order = "f"
crude_asteroid_chunk.icon = "__Astra-Asteroids__/graphics/crude_asteroid_chunk.png"
nauvis_asteroid_chunk.name = "nauvis-asteroid-chunk"
nauvis_asteroid_chunk.type = "asteroid-chunk"
nauvis_asteroid_chunk.minable = {mining_time = 0.2, result = "nauvis_asteroid_chunk_item"}
nauvis_asteroid_chunk.order = "n"
nauvis_asteroid_chunk.icon = "__Astra-Asteroids__/graphics/nauvis_asteroid_chunk.png"
vulcanus_asteroid_chunk.name = "vulcanic-asteroid-chunk"
vulcanus_asteroid_chunk.type = "asteroid-chunk"
vulcanus_asteroid_chunk.minable = {mining_time = 0.2, result = "volcanic_asteroid_chunk_item"}
vulcanus_asteroid_chunk.order = "v"
vulcanus_asteroid_chunk.icon = "__Astra-Asteroids__/graphics/vulcanus_asteroid_chunk.png"
gleba_asteroid_chunk.name = "gleba-asteroid-chunk"
gleba_asteroid_chunk.type = "asteroid-chunk"
gleba_asteroid_chunk.minable = {mining_time = 0.2, result = "gleba-asteroid-chunk-item"}
gleba_asteroid_chunk.order = "g"
gleba_asteroid_chunk.icon = "__Astra-Asteroids__/graphics/gleba_asteroid_chunk.png"
fulgora_asteroid_chunk.name = "fulgoran-asteroid-chunk"
fulgora_asteroid_chunk.type = "asteroid-chunk"
fulgora_asteroid_chunk.minable = {mining_time = 0.2, result = "fulgoran-asteroid-chunk-item"}
fulgora_asteroid_chunk.order = "f"
fulgora_asteroid_chunk.icon = "__Astra-Asteroids__/graphics/fulgoran_asteroid_chunk.png"</v>
      </c>
    </row>
    <row r="5" spans="1:17" ht="15.75" thickTop="1">
      <c r="B5" s="5"/>
    </row>
    <row r="6" spans="1:17" ht="15">
      <c r="B6" s="14" t="s">
        <v>224</v>
      </c>
      <c r="H6" s="14"/>
      <c r="I6" s="14"/>
      <c r="K6" s="14" t="s">
        <v>223</v>
      </c>
    </row>
    <row r="8" spans="1:17">
      <c r="B8" t="s">
        <v>198</v>
      </c>
      <c r="C8" t="s">
        <v>30</v>
      </c>
      <c r="D8" t="s">
        <v>29</v>
      </c>
      <c r="E8" t="s">
        <v>31</v>
      </c>
      <c r="F8" t="s">
        <v>32</v>
      </c>
      <c r="G8" t="s">
        <v>33</v>
      </c>
      <c r="H8" t="s">
        <v>34</v>
      </c>
      <c r="I8" t="s">
        <v>255</v>
      </c>
      <c r="K8" t="s">
        <v>198</v>
      </c>
      <c r="L8" t="s">
        <v>30</v>
      </c>
      <c r="M8" t="s">
        <v>29</v>
      </c>
      <c r="N8" t="s">
        <v>256</v>
      </c>
      <c r="O8" t="s">
        <v>32</v>
      </c>
      <c r="P8" t="s">
        <v>33</v>
      </c>
      <c r="Q8" t="s">
        <v>255</v>
      </c>
    </row>
    <row r="9" spans="1:17">
      <c r="B9" t="s">
        <v>57</v>
      </c>
      <c r="C9" t="s">
        <v>236</v>
      </c>
      <c r="D9" t="str">
        <f>"""item"""</f>
        <v>"item"</v>
      </c>
      <c r="E9" t="str">
        <f>"""space-material"""</f>
        <v>"space-material"</v>
      </c>
      <c r="F9" t="s">
        <v>35</v>
      </c>
      <c r="G9" t="s">
        <v>220</v>
      </c>
      <c r="H9">
        <f>1</f>
        <v>1</v>
      </c>
      <c r="I9" t="str" cm="1">
        <f t="array" ref="I9">_xlfn.TEXTJOIN("
", TRUE, Chunk_Items[[#This Row],[Variable''s Name]] &amp; "." &amp; Chunk_Items[[#Headers],[name]:[stack_size]] &amp; " = " &amp; Chunk_Items[[#This Row],[name]:[stack_size]])</f>
        <v>crude_asteroid_chunk_item.name = "crude-asteroid-chunk-item"
crude_asteroid_chunk_item.type = "item"
crude_asteroid_chunk_item.subgroup = "space-material"
crude_asteroid_chunk_item.order = "f"
crude_asteroid_chunk_item.icon = "__Astra-Asteroids__/graphics/crude_asteroid_chunk.png"
crude_asteroid_chunk_item.stack_size = 1</v>
      </c>
      <c r="K9" t="s">
        <v>244</v>
      </c>
      <c r="L9" t="s">
        <v>239</v>
      </c>
      <c r="M9" t="str">
        <f>"""asteroid-chunk"""</f>
        <v>"asteroid-chunk"</v>
      </c>
      <c r="N9" t="s">
        <v>38</v>
      </c>
      <c r="O9" t="s">
        <v>35</v>
      </c>
      <c r="P9" t="s">
        <v>220</v>
      </c>
      <c r="Q9" t="str" cm="1">
        <f t="array" ref="Q9">_xlfn.TEXTJOIN("
", TRUE, Chunks[[#This Row],[Variable''s Name]] &amp; "." &amp; Chunks[[#Headers],[name]:[icon]] &amp; " = " &amp; Chunks[[#This Row],[name]:[icon]])</f>
        <v>crude_asteroid_chunk.name = "crude-asteroid-chunk"
crude_asteroid_chunk.type = "asteroid-chunk"
crude_asteroid_chunk.minable = {mining_time = 0.2, result = "crude_asteroid_chunk_item"}
crude_asteroid_chunk.order = "f"
crude_asteroid_chunk.icon = "__Astra-Asteroids__/graphics/crude_asteroid_chunk.png"</v>
      </c>
    </row>
    <row r="10" spans="1:17">
      <c r="B10" t="s">
        <v>56</v>
      </c>
      <c r="C10" t="s">
        <v>237</v>
      </c>
      <c r="D10" t="str">
        <f>"""item"""</f>
        <v>"item"</v>
      </c>
      <c r="E10" t="str">
        <f>"""space-material"""</f>
        <v>"space-material"</v>
      </c>
      <c r="F10" t="s">
        <v>35</v>
      </c>
      <c r="G10" t="s">
        <v>221</v>
      </c>
      <c r="H10">
        <f>1</f>
        <v>1</v>
      </c>
      <c r="I10" t="str" cm="1">
        <f t="array" ref="I10">_xlfn.TEXTJOIN("
", TRUE, Chunk_Items[[#This Row],[Variable''s Name]] &amp; "." &amp; Chunk_Items[[#Headers],[name]:[stack_size]] &amp; " = " &amp; Chunk_Items[[#This Row],[name]:[stack_size]])</f>
        <v>nauvis_asteroid_chunk_item.name = "nauvis-asteroid-chunk-item"
nauvis_asteroid_chunk_item.type = "item"
nauvis_asteroid_chunk_item.subgroup = "space-material"
nauvis_asteroid_chunk_item.order = "f"
nauvis_asteroid_chunk_item.icon = "__Astra-Asteroids__/graphics/nauvis_asteroid_chunk.png"
nauvis_asteroid_chunk_item.stack_size = 1</v>
      </c>
      <c r="K10" t="s">
        <v>245</v>
      </c>
      <c r="L10" t="s">
        <v>240</v>
      </c>
      <c r="M10" t="str">
        <f>"""asteroid-chunk"""</f>
        <v>"asteroid-chunk"</v>
      </c>
      <c r="N10" t="s">
        <v>37</v>
      </c>
      <c r="O10" t="s">
        <v>36</v>
      </c>
      <c r="P10" t="s">
        <v>221</v>
      </c>
      <c r="Q10" t="str" cm="1">
        <f t="array" ref="Q10">_xlfn.TEXTJOIN("
", TRUE, Chunks[[#This Row],[Variable''s Name]] &amp; "." &amp; Chunks[[#Headers],[name]:[icon]] &amp; " = " &amp; Chunks[[#This Row],[name]:[icon]])</f>
        <v>nauvis_asteroid_chunk.name = "nauvis-asteroid-chunk"
nauvis_asteroid_chunk.type = "asteroid-chunk"
nauvis_asteroid_chunk.minable = {mining_time = 0.2, result = "nauvis_asteroid_chunk_item"}
nauvis_asteroid_chunk.order = "n"
nauvis_asteroid_chunk.icon = "__Astra-Asteroids__/graphics/nauvis_asteroid_chunk.png"</v>
      </c>
    </row>
    <row r="11" spans="1:17">
      <c r="B11" t="s">
        <v>251</v>
      </c>
      <c r="C11" t="s">
        <v>238</v>
      </c>
      <c r="D11" t="str">
        <f>"""item"""</f>
        <v>"item"</v>
      </c>
      <c r="E11" t="str">
        <f>"""space-material"""</f>
        <v>"space-material"</v>
      </c>
      <c r="F11" t="s">
        <v>86</v>
      </c>
      <c r="G11" t="s">
        <v>222</v>
      </c>
      <c r="H11">
        <f>1</f>
        <v>1</v>
      </c>
      <c r="I11" t="str" cm="1">
        <f t="array" ref="I11">_xlfn.TEXTJOIN("
", TRUE, Chunk_Items[[#This Row],[Variable''s Name]] &amp; "." &amp; Chunk_Items[[#Headers],[name]:[stack_size]] &amp; " = " &amp; Chunk_Items[[#This Row],[name]:[stack_size]])</f>
        <v>vulcanus_asteroid_chunk_item.name = "vulcanic-asteroid-chunk-item"
vulcanus_asteroid_chunk_item.type = "item"
vulcanus_asteroid_chunk_item.subgroup = "space-material"
vulcanus_asteroid_chunk_item.order = "v"
vulcanus_asteroid_chunk_item.icon = "__Astra-Asteroids__/graphics/vulcanus_asteroid_chunk.png"
vulcanus_asteroid_chunk_item.stack_size = 1</v>
      </c>
      <c r="K11" t="s">
        <v>253</v>
      </c>
      <c r="L11" t="s">
        <v>241</v>
      </c>
      <c r="M11" t="str">
        <f>"""asteroid-chunk"""</f>
        <v>"asteroid-chunk"</v>
      </c>
      <c r="N11" t="s">
        <v>85</v>
      </c>
      <c r="O11" t="s">
        <v>86</v>
      </c>
      <c r="P11" t="s">
        <v>222</v>
      </c>
      <c r="Q11" t="str" cm="1">
        <f t="array" ref="Q11">_xlfn.TEXTJOIN("
", TRUE, Chunks[[#This Row],[Variable''s Name]] &amp; "." &amp; Chunks[[#Headers],[name]:[icon]] &amp; " = " &amp; Chunks[[#This Row],[name]:[icon]])</f>
        <v>vulcanus_asteroid_chunk.name = "vulcanic-asteroid-chunk"
vulcanus_asteroid_chunk.type = "asteroid-chunk"
vulcanus_asteroid_chunk.minable = {mining_time = 0.2, result = "volcanic_asteroid_chunk_item"}
vulcanus_asteroid_chunk.order = "v"
vulcanus_asteroid_chunk.icon = "__Astra-Asteroids__/graphics/vulcanus_asteroid_chunk.png"</v>
      </c>
    </row>
    <row r="12" spans="1:17">
      <c r="B12" t="s">
        <v>58</v>
      </c>
      <c r="C12" t="s">
        <v>234</v>
      </c>
      <c r="D12" s="12" t="str">
        <f>"""item"""</f>
        <v>"item"</v>
      </c>
      <c r="E12" s="12" t="str">
        <f>"""space-material"""</f>
        <v>"space-material"</v>
      </c>
      <c r="F12" t="s">
        <v>186</v>
      </c>
      <c r="G12" t="s">
        <v>247</v>
      </c>
      <c r="H12" s="12">
        <f>1</f>
        <v>1</v>
      </c>
      <c r="I12" s="12" t="str" cm="1">
        <f t="array" ref="I12">_xlfn.TEXTJOIN("
", TRUE, Chunk_Items[[#This Row],[Variable''s Name]] &amp; "." &amp; Chunk_Items[[#Headers],[name]:[stack_size]] &amp; " = " &amp; Chunk_Items[[#This Row],[name]:[stack_size]])</f>
        <v>gleba_asteroid_chunk_item.name = "gleba-asteroid-chunk-item"
gleba_asteroid_chunk_item.type = "item"
gleba_asteroid_chunk_item.subgroup = "space-material"
gleba_asteroid_chunk_item.order = "g"
gleba_asteroid_chunk_item.icon = "__Astra-Asteroids__/graphics/gleba_asteroid_chunk.png"
gleba_asteroid_chunk_item.stack_size = 1</v>
      </c>
      <c r="K12" t="s">
        <v>246</v>
      </c>
      <c r="L12" t="s">
        <v>242</v>
      </c>
      <c r="M12" s="12" t="str">
        <f t="shared" ref="M12:M13" si="0">"""asteroid-chunk"""</f>
        <v>"asteroid-chunk"</v>
      </c>
      <c r="N12" s="12" t="s">
        <v>249</v>
      </c>
      <c r="O12" t="s">
        <v>186</v>
      </c>
      <c r="P12" t="s">
        <v>247</v>
      </c>
      <c r="Q12" t="str" cm="1">
        <f t="array" ref="Q12">_xlfn.TEXTJOIN("
", TRUE, Chunks[[#This Row],[Variable''s Name]] &amp; "." &amp; Chunks[[#Headers],[name]:[icon]] &amp; " = " &amp; Chunks[[#This Row],[name]:[icon]])</f>
        <v>gleba_asteroid_chunk.name = "gleba-asteroid-chunk"
gleba_asteroid_chunk.type = "asteroid-chunk"
gleba_asteroid_chunk.minable = {mining_time = 0.2, result = "gleba-asteroid-chunk-item"}
gleba_asteroid_chunk.order = "g"
gleba_asteroid_chunk.icon = "__Astra-Asteroids__/graphics/gleba_asteroid_chunk.png"</v>
      </c>
    </row>
    <row r="13" spans="1:17">
      <c r="B13" t="s">
        <v>252</v>
      </c>
      <c r="C13" t="s">
        <v>235</v>
      </c>
      <c r="D13" s="12" t="str">
        <f>"""item"""</f>
        <v>"item"</v>
      </c>
      <c r="E13" s="12" t="str">
        <f>"""space-material"""</f>
        <v>"space-material"</v>
      </c>
      <c r="F13" t="s">
        <v>35</v>
      </c>
      <c r="G13" t="s">
        <v>248</v>
      </c>
      <c r="H13" s="12">
        <f>1</f>
        <v>1</v>
      </c>
      <c r="I13" s="12" t="str" cm="1">
        <f t="array" ref="I13">_xlfn.TEXTJOIN("
", TRUE, Chunk_Items[[#This Row],[Variable''s Name]] &amp; "." &amp; Chunk_Items[[#Headers],[name]:[stack_size]] &amp; " = " &amp; Chunk_Items[[#This Row],[name]:[stack_size]])</f>
        <v>fulgora_asteroid_chunk_item.name = "fulgoran-asteroid-chunk-item"
fulgora_asteroid_chunk_item.type = "item"
fulgora_asteroid_chunk_item.subgroup = "space-material"
fulgora_asteroid_chunk_item.order = "f"
fulgora_asteroid_chunk_item.icon = "__Astra-Asteroids__/graphics/fulgoran_asteroid_chunk.png"
fulgora_asteroid_chunk_item.stack_size = 1</v>
      </c>
      <c r="K13" t="s">
        <v>254</v>
      </c>
      <c r="L13" t="s">
        <v>243</v>
      </c>
      <c r="M13" s="12" t="str">
        <f t="shared" si="0"/>
        <v>"asteroid-chunk"</v>
      </c>
      <c r="N13" s="12" t="s">
        <v>250</v>
      </c>
      <c r="O13" t="s">
        <v>35</v>
      </c>
      <c r="P13" t="s">
        <v>248</v>
      </c>
      <c r="Q13" t="str" cm="1">
        <f t="array" ref="Q13">_xlfn.TEXTJOIN("
", TRUE, Chunks[[#This Row],[Variable''s Name]] &amp; "." &amp; Chunks[[#Headers],[name]:[icon]] &amp; " = " &amp; Chunks[[#This Row],[name]:[icon]])</f>
        <v>fulgora_asteroid_chunk.name = "fulgoran-asteroid-chunk"
fulgora_asteroid_chunk.type = "asteroid-chunk"
fulgora_asteroid_chunk.minable = {mining_time = 0.2, result = "fulgoran-asteroid-chunk-item"}
fulgora_asteroid_chunk.order = "f"
fulgora_asteroid_chunk.icon = "__Astra-Asteroids__/graphics/fulgoran_asteroid_chunk.png"</v>
      </c>
    </row>
    <row r="19" spans="13:13" ht="15">
      <c r="M19" s="4"/>
    </row>
    <row r="20" spans="13:13" ht="15">
      <c r="M20" s="6"/>
    </row>
    <row r="21" spans="13:13" ht="15">
      <c r="M21" s="6"/>
    </row>
    <row r="22" spans="13:13" ht="15">
      <c r="M22" s="6"/>
    </row>
    <row r="23" spans="13:13" ht="15">
      <c r="M23" s="6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72A5-FC41-4490-AF8C-1F6ADD4F213B}">
  <sheetPr codeName="Sheet3"/>
  <dimension ref="B1:AQ58"/>
  <sheetViews>
    <sheetView workbookViewId="0">
      <pane xSplit="3" ySplit="7" topLeftCell="AE8" activePane="bottomRight" state="frozen"/>
      <selection pane="topRight" activeCell="C1" sqref="C1"/>
      <selection pane="bottomLeft" activeCell="A5" sqref="A5"/>
      <selection pane="bottomRight" activeCell="B2" sqref="B2:B4"/>
    </sheetView>
  </sheetViews>
  <sheetFormatPr defaultRowHeight="14.25"/>
  <cols>
    <col min="1" max="1" width="3.25" customWidth="1"/>
    <col min="2" max="2" width="11.5" customWidth="1"/>
    <col min="3" max="3" width="23.125" customWidth="1"/>
    <col min="4" max="4" width="6.5" style="2" customWidth="1"/>
    <col min="5" max="5" width="11.5" style="2" customWidth="1"/>
    <col min="6" max="6" width="27.25" style="2" customWidth="1"/>
    <col min="7" max="7" width="25" style="2" customWidth="1"/>
    <col min="8" max="8" width="63.625" style="2" customWidth="1"/>
    <col min="9" max="9" width="13.375" style="2" customWidth="1"/>
    <col min="10" max="10" width="10.25" style="2" customWidth="1"/>
    <col min="11" max="12" width="11.125" style="2" customWidth="1"/>
    <col min="13" max="14" width="27.5" style="2" customWidth="1"/>
    <col min="15" max="16" width="8.5" style="2" customWidth="1"/>
    <col min="17" max="18" width="9.375" style="2" customWidth="1"/>
    <col min="19" max="19" width="11.125" style="2" customWidth="1"/>
    <col min="20" max="22" width="9.375" style="2" customWidth="1"/>
    <col min="23" max="23" width="10.75" style="2" customWidth="1"/>
    <col min="24" max="27" width="9.375" style="2" customWidth="1"/>
    <col min="28" max="28" width="20.5" style="2" customWidth="1"/>
    <col min="29" max="32" width="9.375" style="2" customWidth="1"/>
    <col min="33" max="33" width="15.5" style="2" customWidth="1"/>
    <col min="34" max="35" width="9.375" style="2" customWidth="1"/>
    <col min="36" max="36" width="11.25" style="2" hidden="1" customWidth="1"/>
    <col min="37" max="39" width="11.25" hidden="1" customWidth="1"/>
    <col min="40" max="42" width="45.875" customWidth="1"/>
    <col min="44" max="44" width="64" customWidth="1"/>
    <col min="45" max="45" width="27" customWidth="1"/>
  </cols>
  <sheetData>
    <row r="1" spans="2:43" ht="16.5" customHeight="1" thickBot="1"/>
    <row r="2" spans="2:43" ht="16.5" customHeight="1" thickTop="1" thickBot="1">
      <c r="B2" t="s">
        <v>232</v>
      </c>
      <c r="C2" s="18" t="str" cm="1">
        <f t="array" ref="C2">_xlfn.TEXTJOIN("
", TRUE, _xlfn._xlws.FILTER("local " &amp; Table7[Variable''s Name] &amp; " = " &amp; IF(Table7[Advanced?], advRecipeCopy, baseRecipeCopy), ISBLANK(Table7[Unwritten?])))</f>
        <v>local crude_asteroid_chunk_crushing = table.deepcopy(data.raw.recipe["metallic-asteroid-crushing"])
local vulcanus_asteroid_chunk_crushing = table.deepcopy(data.raw.recipe["metallic-asteroid-crushing"])
local nauvis_asteroid_chunk_crushing = table.deepcopy(data.raw.recipe["metallic-asteroid-crushing"])
local fulgoran_asteroid_chunk_crushing = table.deepcopy(data.raw.recipe["metallic-asteroid-crushing"])
local vulcanis_asteroid_chunk_crushing_adv = table.deepcopy(data.raw.recipe["advanced-metallic-asteroid-crushing"])
local nauvis_asteroid_chunk_crushing_adv = table.deepcopy(data.raw.recipe["advanced-metallic-asteroid-crushing"])
local fulgoran_asteroid_chunk_crushing_adv = table.deepcopy(data.raw.recipe["advanced-metallic-asteroid-crushing"])
local vulcanus_special_crushing = table.deepcopy(data.raw.recipe["advanced-metallic-asteroid-crushing"])
local fulgoran_special_crushing = table.deepcopy(data.raw.recipe["advanced-metallic-asteroid-crushing"])</v>
      </c>
    </row>
    <row r="3" spans="2:43" ht="16.5" customHeight="1" thickTop="1" thickBot="1"/>
    <row r="4" spans="2:43" ht="16.5" customHeight="1" thickTop="1" thickBot="1">
      <c r="B4" t="s">
        <v>233</v>
      </c>
      <c r="C4" s="13" t="str" cm="1">
        <f t="array" ref="C4">_xlfn.TEXTJOIN("
", TRUE, _xlfn._xlws.FILTER(Table7[Whole String], ISBLANK(Table7[Unwritten?])))</f>
        <v>crude_asteroid_chunk_crushing.name = "crude-asteroid-chunk-crushing"
crude_asteroid_chunk_crushing.icon = "__Astra-Asteroids__/graphics/crude_crushing_basic.png"
crude_asteroid_chunk_crushing.order = "a"
crude_asteroid_chunk_crushing.enabled = false
crude_asteroid_chunk_crushing.energy_required = 2
crude_asteroid_chunk_crushing.ingredients = { { type = "item", name = "crude-asteroid-chunk-item", amount = 1 } }
crude_asteroid_chunk_crushing.results = { 
    { type = "item", name = "solid-fuel", amount_min = 5, amount_max = 15, probability = 1 } 
}
vulcanus_asteroid_chunk_crushing.name = "vulcanus-asteroid-chunk-crushing"
vulcanus_asteroid_chunk_crushing.icon = "__Astra-Asteroids__/graphics/vulcanus_crushing_basic.png"
vulcanus_asteroid_chunk_crushing.order = "v"
vulcanus_asteroid_chunk_crushing.enabled = false
vulcanus_asteroid_chunk_crushing.energy_required = 2
vulcanus_asteroid_chunk_crushing.ingredients = { { type = "item", name = "vulcanic-asteroid-chunk-item", amount = 1 } }
vulcanus_asteroid_chunk_crushing.results = { 
    { type = "item", name = "stone", amount_min = 4, amount_max = 6, probability = 1 }, 
    { type = "item", name = "tungsten-ore", amount_min = 1, amount_max = 2, probability = 0.15 }, 
    { type = "item", name = "vulcanic-asteroid-chunk-item", amount_min = 1, amount_max = 1, probability = 0.05 } 
}
nauvis_asteroid_chunk_crushing.name = "nauvis-asteroid-chunk-crushing"
nauvis_asteroid_chunk_crushing.icon = "__Astra-Asteroids__/graphics/nauvis_crushing_basic.png"
nauvis_asteroid_chunk_crushing.order = "n"
nauvis_asteroid_chunk_crushing.enabled = false
nauvis_asteroid_chunk_crushing.energy_required = 2
nauvis_asteroid_chunk_crushing.ingredients = { { type = "item", name = "nauvis-asteroid-chunk-item", amount = 1 } }
nauvis_asteroid_chunk_crushing.results = { 
    { type = "item", name = "stone", amount_min = 5, amount_max = 10, probability = 1 }, 
    { type = "item", name = "uranium-ore", amount_min = 1, amount_max = 1, probability = 0.1 }, 
    { type = "item", name = "nauvis-asteroid-chunk-item", amount_min = 1, amount_max = 1, probability = 0.05 } 
}
fulgoran_asteroid_chunk_crushing.name = "fulgoran-asteroid-chunk-crushing"
fulgoran_asteroid_chunk_crushing.icon = "__Astra-Asteroids__/graphics/fulgora_crushing_basic.png"
fulgoran_asteroid_chunk_crushing.order = "f"
fulgoran_asteroid_chunk_crushing.enabled = false
fulgoran_asteroid_chunk_crushing.energy_required = 2
fulgoran_asteroid_chunk_crushing.ingredients = { { type = "item", name = "fulgoran-asteroid-chunk-item", amount = 1 } }
fulgoran_asteroid_chunk_crushing.results = { 
    { type = "item", name = "stone", amount_min = 4, amount_max = 6, probability = 1 }, 
    { type = "item", name = "scrap", amount_min = 2, amount_max = 12, probability = 1 }, 
    { type = "item", name = "fulgoran-asteroid-chunk-item", amount_min = 1, amount_max = 1, probability = 0.05 } 
}
vulcanis_asteroid_chunk_crushing_adv.name = "vulcanis-asteroid-chunk-crushing-adv"
vulcanis_asteroid_chunk_crushing_adv.icon = "__Astra-Asteroids__/graphics/vulcanus_crushing_basic.png"
vulcanis_asteroid_chunk_crushing_adv.order = "v"
vulcanis_asteroid_chunk_crushing_adv.enabled = false
vulcanis_asteroid_chunk_crushing_adv.energy_required = 5
vulcanis_asteroid_chunk_crushing_adv.ingredients = { { type = "item", name = "vulcanic-asteroid-chunk-item", amount = 1 } }
vulcanis_asteroid_chunk_crushing_adv.results = { 
    { type = "item", name = "stone", amount_min = 8, amount_max = 8, probability = 1 }, 
    { type = "item", name = "tungsten-ore", amount_min = 10, amount_max = 10, probability = 1 }, 
    { type = "item", name = "vulcanic-asteroid-chunk-item", amount_min = 1, amount_max = 1, probability = 0.05 } 
}
nauvis_asteroid_chunk_crushing_adv.name = "nauvis-asteroid-chunk-crushing-adv"
nauvis_asteroid_chunk_crushing_adv.icon = "__Astra-Asteroids__/graphics/nauvis_crushing_basic.png"
nauvis_asteroid_chunk_crushing_adv.order = "n"
nauvis_asteroid_chunk_crushing_adv.enabled = false
nauvis_asteroid_chunk_crushing_adv.energy_required = 5
nauvis_asteroid_chunk_crushing_adv.ingredients = { { type = "item", name = "nauvis-asteroid-chunk-item", amount = 1 } }
nauvis_asteroid_chunk_crushing_adv.results = { 
    { type = "item", name = "stone", amount_min = 4, amount_max = 8, probability = 1 }, 
    { type = "item", name = "uranium-ore", amount_min = 1, amount_max = 13, probability = 0.4 }, 
    { type = "item", name = "nauvis-asteroid-chunk-item", amount_min = 1, amount_max = 1, probability = 0.05 } 
}
fulgoran_asteroid_chunk_crushing_adv.name = "fulgoran-asteroid-chunk-crushing-adv"
fulgoran_asteroid_chunk_crushing_adv.icon = "__Astra-Asteroids__/graphics/fulgora_crushing_basic.png"
fulgoran_asteroid_chunk_crushing_adv.order = "f"
fulgoran_asteroid_chunk_crushing_adv.enabled = false
fulgoran_asteroid_chunk_crushing_adv.energy_required = 5
fulgoran_asteroid_chunk_crushing_adv.ingredients = { { type = "item", name = "fulgoran-asteroid-chunk-item", amount = 1 } }
fulgoran_asteroid_chunk_crushing_adv.results = { 
    { type = "item", name = "stone", amount_min = 4, amount_max = 6, probability = 1 }, 
    { type = "item", name = "scrap", amount_min = 35, amount_max = 75, probability = 1 }, 
    { type = "item", name = "holmium-ore", amount_min = 3, amount_max = 8, probability = 0.5 }, 
    { type = "item", name = "fulgoran-asteroid-chunk-item", amount_min = 1, amount_max = 1, probability = 0.05 } 
}
vulcanus_special_crushing.name = "vulcanus-special-crushing"
vulcanus_special_crushing.icon = "__Astra-Asteroids__/graphics/vulcanus_crushing_basic.png"
vulcanus_special_crushing.order = "v"
vulcanus_special_crushing.enabled = false
vulcanus_special_crushing.energy_required = 5
vulcanus_special_crushing.ingredients = { { type = "item", name = "vulcanic-asteroid-chunk-item", amount = 1 }, { type = "item", name = "metallic-astroid-chunk", amount = 1 } }
vulcanus_special_crushing.results = { 
    { type = "fluid", name = "lava", amount_min = 2000, amount_max = 2000, probability = 1 }, 
    { type = "item", name = "tungsten-ore", amount_min = 12, amount_max = 12, probability = 1 } 
}
fulgoran_special_crushing.name = "fulgoran-special-crushing"
fulgoran_special_crushing.icon = "__Astra-Asteroids__/graphics/fulgora_crushing_basic.png"
fulgoran_special_crushing.order = "f"
fulgoran_special_crushing.enabled = false
fulgoran_special_crushing.energy_required = 10
fulgoran_special_crushing.ingredients = { { type = "item", name = "fulgoran-asteroid-chunk-item", amount = 1 }, { type = "item", name = "carbonic-asteroid-chunk-item", amount = 1 } }
fulgoran_special_crushing.results = { 
    { type = "item", name = "stone", amount_min = 5, amount_max = 5, probability = 1 }, 
    { type = "fluid", name = "heavy-oil", amount_min = 20, amount_max = 20, probability = 1 }, 
    { type = "fluid", name = "holmium-solution", amount_min = 20, amount_max = 20, probability = 1 } 
}</v>
      </c>
      <c r="G4" s="14" t="s">
        <v>225</v>
      </c>
      <c r="M4" s="2" t="s">
        <v>41</v>
      </c>
    </row>
    <row r="5" spans="2:43" ht="16.5" customHeight="1" thickTop="1">
      <c r="G5" s="14" t="s">
        <v>226</v>
      </c>
    </row>
    <row r="6" spans="2:43">
      <c r="J6" s="2" t="s">
        <v>43</v>
      </c>
    </row>
    <row r="7" spans="2:43" s="1" customFormat="1" ht="52.5" customHeight="1">
      <c r="C7" s="1" t="s">
        <v>23</v>
      </c>
      <c r="D7" s="1" t="s">
        <v>55</v>
      </c>
      <c r="E7" s="1" t="s">
        <v>231</v>
      </c>
      <c r="F7" s="1" t="s">
        <v>198</v>
      </c>
      <c r="G7" s="1" t="s">
        <v>30</v>
      </c>
      <c r="H7" s="1" t="s">
        <v>33</v>
      </c>
      <c r="I7" s="1" t="s">
        <v>32</v>
      </c>
      <c r="J7" s="1" t="s">
        <v>39</v>
      </c>
      <c r="K7" s="1" t="s">
        <v>59</v>
      </c>
      <c r="L7" s="1" t="s">
        <v>60</v>
      </c>
      <c r="M7" s="1" t="s">
        <v>61</v>
      </c>
      <c r="N7" s="1" t="s">
        <v>64</v>
      </c>
      <c r="O7" s="1" t="s">
        <v>65</v>
      </c>
      <c r="P7" s="1" t="s">
        <v>157</v>
      </c>
      <c r="Q7" s="1" t="s">
        <v>99</v>
      </c>
      <c r="R7" s="1" t="s">
        <v>87</v>
      </c>
      <c r="S7" s="1" t="s">
        <v>91</v>
      </c>
      <c r="T7" s="1" t="s">
        <v>95</v>
      </c>
      <c r="U7" s="1" t="s">
        <v>158</v>
      </c>
      <c r="V7" s="1" t="s">
        <v>100</v>
      </c>
      <c r="W7" s="1" t="s">
        <v>88</v>
      </c>
      <c r="X7" s="1" t="s">
        <v>92</v>
      </c>
      <c r="Y7" s="1" t="s">
        <v>96</v>
      </c>
      <c r="Z7" s="1" t="s">
        <v>159</v>
      </c>
      <c r="AA7" s="1" t="s">
        <v>101</v>
      </c>
      <c r="AB7" s="1" t="s">
        <v>89</v>
      </c>
      <c r="AC7" s="1" t="s">
        <v>93</v>
      </c>
      <c r="AD7" s="1" t="s">
        <v>97</v>
      </c>
      <c r="AE7" s="1" t="s">
        <v>160</v>
      </c>
      <c r="AF7" s="1" t="s">
        <v>102</v>
      </c>
      <c r="AG7" s="1" t="s">
        <v>90</v>
      </c>
      <c r="AH7" s="1" t="s">
        <v>94</v>
      </c>
      <c r="AI7" s="1" t="s">
        <v>98</v>
      </c>
      <c r="AJ7" s="1" t="s">
        <v>44</v>
      </c>
      <c r="AK7" s="1" t="s">
        <v>45</v>
      </c>
      <c r="AL7" s="1" t="s">
        <v>46</v>
      </c>
      <c r="AM7" s="1" t="s">
        <v>47</v>
      </c>
      <c r="AN7" s="1" t="s">
        <v>63</v>
      </c>
      <c r="AO7" s="1" t="s">
        <v>188</v>
      </c>
      <c r="AP7" s="1" t="s">
        <v>208</v>
      </c>
    </row>
    <row r="8" spans="2:43" ht="18.75" customHeight="1">
      <c r="C8" t="s">
        <v>105</v>
      </c>
      <c r="D8" s="2" t="s">
        <v>13</v>
      </c>
      <c r="E8" s="2" t="b">
        <f>OR(ISNUMBER(SEARCH("Adv", Table7[[#This Row],[Recipe]])), ISNUMBER(SEARCH("Special", Table7[[#This Row],[Recipe]])))</f>
        <v>0</v>
      </c>
      <c r="G8" s="2" t="s">
        <v>111</v>
      </c>
      <c r="H8" s="2" t="s">
        <v>120</v>
      </c>
      <c r="J8" s="2" t="s">
        <v>40</v>
      </c>
      <c r="K8" s="2">
        <v>2</v>
      </c>
      <c r="L8" s="17" t="s">
        <v>122</v>
      </c>
      <c r="M8" s="17"/>
      <c r="N8" s="2">
        <v>1</v>
      </c>
      <c r="P8" s="2" t="s">
        <v>162</v>
      </c>
      <c r="Q8" s="2" t="s">
        <v>73</v>
      </c>
      <c r="R8" s="2">
        <v>5</v>
      </c>
      <c r="S8" s="2">
        <v>5</v>
      </c>
      <c r="T8" s="2">
        <v>1</v>
      </c>
      <c r="U8" s="2" t="s">
        <v>162</v>
      </c>
      <c r="V8" s="2" t="s">
        <v>122</v>
      </c>
      <c r="W8" s="2">
        <v>1</v>
      </c>
      <c r="X8" s="2">
        <v>1</v>
      </c>
      <c r="Y8" s="2">
        <v>0.2</v>
      </c>
      <c r="AJ8" t="str" cm="1">
        <f t="array" ref="AJ8">IF(ISBLANK(Table7[[#This Row],[Result_1_type]]), FALSE, "{ " &amp;
 _xlfn.TEXTJOIN(", ",
          TRUE,
          {"type","name","amount_min","amount_max","probability"} &amp; " = " &amp; IF(NOT(ISNUMBER(Table7[[#This Row],[Result_1_type]:[Result_1_P]])), """" &amp; Table7[[#This Row],[Result_1_type]:[Result_1_P]] &amp; """", Table7[[#This Row],[Result_1_type]:[Result_1_P]]) ) &amp;
  " }" )</f>
        <v>{ type = "item", name = "ice", amount_min = 5, amount_max = 5, probability = 1 }</v>
      </c>
      <c r="AK8" t="str" cm="1">
        <f t="array" ref="AK8">IF(ISBLANK(Table7[[#This Row],[Result_2_type]]), FALSE, "{ " &amp;
 _xlfn.TEXTJOIN(", ",
          TRUE,
          {"type","name","amount_min","amount_max","probability"} &amp; " = " &amp; IF(NOT(ISNUMBER(Table7[[#This Row],[Result_2_type]:[Result_2_P]])), """" &amp; Table7[[#This Row],[Result_2_type]:[Result_2_P]] &amp; """", Table7[[#This Row],[Result_2_type]:[Result_2_P]]) ) &amp;
  " }" )</f>
        <v>{ type = "item", name = "oxide-asteroid-chunk", amount_min = 1, amount_max = 1, probability = 0.2 }</v>
      </c>
      <c r="AL8" t="b" cm="1">
        <f t="array" ref="AL8">IF(ISBLANK(Table7[[#This Row],[Result_3_type]]), FALSE, "{ " &amp;
 _xlfn.TEXTJOIN(", ",
          TRUE,
          {"type","name","amount_min","amount_max","probability"} &amp; " = " &amp; IF(NOT(ISNUMBER(Table7[[#This Row],[Result_3_type]:[Result_3_P]])), """" &amp; Table7[[#This Row],[Result_3_type]:[Result_3_P]] &amp; """", Table7[[#This Row],[Result_3_type]:[Result_3_P]]) ) &amp;
  " }" )</f>
        <v>0</v>
      </c>
      <c r="AM8" t="b" cm="1">
        <f t="array" ref="AM8">IF(ISBLANK(Table7[[#This Row],[Result_4_type]]), FALSE, "{ " &amp;
 _xlfn.TEXTJOIN(", ",
          TRUE,
          {"type","name","amount_min","amount_max","probability"} &amp; " = " &amp; IF(NOT(ISNUMBER(Table7[[#This Row],[Result_4_type]:[Result_4_P]])), """" &amp; Table7[[#This Row],[Result_4_type]:[Result_4_P]] &amp; """", Table7[[#This Row],[Result_4_type]:[Result_4_P]]) ) &amp;
  " }" )</f>
        <v>0</v>
      </c>
      <c r="AN8" s="15" t="str" cm="1">
        <f t="array" ref="AN8" xml:space="preserve"> "{ " &amp;
 _xlfn.TEXTJOIN(", ",
          TRUE,
          "{ type = ""item"", name = """ &amp; _xlfn.TRIMRANGE(Table7[[#This Row],[Ingredient 1]:[Ingredient 2]]) &amp; """, amount = " &amp; _xlfn.TRIMRANGE(Table7[[#This Row],[Ingredient 1 Amount]:[Ingredient 2 Amount]]) &amp; " }")
&amp; " }"</f>
        <v>{ { type = "item", name = "oxide-asteroid-chunk", amount = 1 } }</v>
      </c>
      <c r="AO8" s="15" t="str" cm="1">
        <f t="array" ref="AO8" xml:space="preserve"> "{ 
    " &amp; _xlfn.TEXTJOIN(", 
    ", TRUE, _xlfn._xlws.FILTER(Table7[[#This Row],[Results 1]:[Results 4]], IFERROR(--Table7[[#This Row],[Results 1]:[Results 4]], TRUE))) &amp; " 
}"</f>
        <v>{ 
    { type = "item", name = "ice", amount_min = 5, amount_max = 5, probability = 1 }, 
    { type = "item", name = "oxide-asteroid-chunk", amount_min = 1, amount_max = 1, probability = 0.2 } 
}</v>
      </c>
      <c r="AP8" s="16" t="str" cm="1">
        <f t="array" ref="AP8">_xlfn.TEXTJOIN("
", TRUE, Table7[[#This Row],[Variable''s Name]] &amp; "." &amp; Table7[[#Headers],[name]:[energy_required]] &amp; " = " &amp; Table7[[#This Row],[name]:[energy_required]]) &amp; "
" &amp; Table7[[#This Row],[Variable''s Name]] &amp; ".ingredients = " &amp; Table7[[#This Row],[Ingredient String]] &amp; "
" &amp; Table7[[#This Row],[Variable''s Name]] &amp; ".results = " &amp; Table7[[#This Row],[Results String]]</f>
        <v>.name = "oxide-asteroid-crushing"
.icon = "__space-age__\graphics\icons\oxide-asteroid-crushing.png"
.order = 
.enabled = false
.energy_required = 2
.ingredients = { { type = "item", name = "oxide-asteroid-chunk", amount = 1 } }
.results = { 
    { type = "item", name = "ice", amount_min = 5, amount_max = 5, probability = 1 }, 
    { type = "item", name = "oxide-asteroid-chunk", amount_min = 1, amount_max = 1, probability = 0.2 } 
}</v>
      </c>
      <c r="AQ8" t="str" cm="1">
        <f t="array" ref="AQ8" xml:space="preserve"> "{ " &amp;
 _xlfn.TEXTJOIN(", ",
          TRUE,
          "{ type = ""item"", name = """ &amp; _xlfn.TRIMRANGE(Table7[[#This Row],[Ingredient 1]:[Ingredient 2]]) &amp; """, amount = " &amp; _xlfn.TRIMRANGE(Table7[[#This Row],[Ingredient 1 Amount]:[Ingredient 2 Amount]]) &amp; " }")
&amp; " }"</f>
        <v>{ { type = "item", name = "oxide-asteroid-chunk", amount = 1 } }</v>
      </c>
    </row>
    <row r="9" spans="2:43" ht="18.75" customHeight="1">
      <c r="C9" t="s">
        <v>104</v>
      </c>
      <c r="D9" s="2" t="s">
        <v>13</v>
      </c>
      <c r="E9" s="2" t="b">
        <f>OR(ISNUMBER(SEARCH("Adv", Table7[[#This Row],[Recipe]])), ISNUMBER(SEARCH("Special", Table7[[#This Row],[Recipe]])))</f>
        <v>0</v>
      </c>
      <c r="G9" s="2" t="s">
        <v>109</v>
      </c>
      <c r="H9" s="2" t="s">
        <v>119</v>
      </c>
      <c r="J9" s="2" t="s">
        <v>40</v>
      </c>
      <c r="K9" s="2">
        <v>2</v>
      </c>
      <c r="L9" s="17" t="s">
        <v>62</v>
      </c>
      <c r="M9" s="17"/>
      <c r="N9" s="2">
        <v>1</v>
      </c>
      <c r="T9" s="2">
        <v>1</v>
      </c>
      <c r="Y9" s="2">
        <v>1</v>
      </c>
      <c r="AJ9" t="b" cm="1">
        <f t="array" ref="AJ9">IF(ISBLANK(Table7[[#This Row],[Result_1_type]]), FALSE, "{ " &amp;
 _xlfn.TEXTJOIN(", ",
          TRUE,
          {"type","name","amount_min","amount_max","probability"} &amp; " = " &amp; IF(NOT(ISNUMBER(Table7[[#This Row],[Result_1_type]:[Result_1_P]])), """" &amp; Table7[[#This Row],[Result_1_type]:[Result_1_P]] &amp; """", Table7[[#This Row],[Result_1_type]:[Result_1_P]]) ) &amp;
  " }" )</f>
        <v>0</v>
      </c>
      <c r="AK9" t="b" cm="1">
        <f t="array" ref="AK9">IF(ISBLANK(Table7[[#This Row],[Result_2_type]]), FALSE, "{ " &amp;
 _xlfn.TEXTJOIN(", ",
          TRUE,
          {"type","name","amount_min","amount_max","probability"} &amp; " = " &amp; IF(NOT(ISNUMBER(Table7[[#This Row],[Result_2_type]:[Result_2_P]])), """" &amp; Table7[[#This Row],[Result_2_type]:[Result_2_P]] &amp; """", Table7[[#This Row],[Result_2_type]:[Result_2_P]]) ) &amp;
  " }" )</f>
        <v>0</v>
      </c>
      <c r="AL9" t="b" cm="1">
        <f t="array" ref="AL9">IF(ISBLANK(Table7[[#This Row],[Result_3_type]]), FALSE, "{ " &amp;
 _xlfn.TEXTJOIN(", ",
          TRUE,
          {"type","name","amount_min","amount_max","probability"} &amp; " = " &amp; IF(NOT(ISNUMBER(Table7[[#This Row],[Result_3_type]:[Result_3_P]])), """" &amp; Table7[[#This Row],[Result_3_type]:[Result_3_P]] &amp; """", Table7[[#This Row],[Result_3_type]:[Result_3_P]]) ) &amp;
  " }" )</f>
        <v>0</v>
      </c>
      <c r="AM9" t="b" cm="1">
        <f t="array" ref="AM9">IF(ISBLANK(Table7[[#This Row],[Result_4_type]]), FALSE, "{ " &amp;
 _xlfn.TEXTJOIN(", ",
          TRUE,
          {"type","name","amount_min","amount_max","probability"} &amp; " = " &amp; IF(NOT(ISNUMBER(Table7[[#This Row],[Result_4_type]:[Result_4_P]])), """" &amp; Table7[[#This Row],[Result_4_type]:[Result_4_P]] &amp; """", Table7[[#This Row],[Result_4_type]:[Result_4_P]]) ) &amp;
  " }" )</f>
        <v>0</v>
      </c>
      <c r="AN9" s="15" t="str" cm="1">
        <f t="array" ref="AN9" xml:space="preserve"> "{ " &amp;
 _xlfn.TEXTJOIN(", ",
          TRUE,
          "{ type = ""item"", name = """ &amp; _xlfn.TRIMRANGE(Table7[[#This Row],[Ingredient 1]:[Ingredient 2]]) &amp; """, amount = " &amp; _xlfn.TRIMRANGE(Table7[[#This Row],[Ingredient 1 Amount]:[Ingredient 2 Amount]]) &amp; " }")
&amp; " }"</f>
        <v>{ { type = "item", name = "metallic-astroid-chunk", amount = 1 } }</v>
      </c>
      <c r="AO9" s="15" t="e" cm="1" vm="1">
        <f t="array" ref="AO9" xml:space="preserve"> "{ 
    " &amp; _xlfn.TEXTJOIN(", 
    ", TRUE, _xlfn._xlws.FILTER(Table7[[#This Row],[Results 1]:[Results 4]], IFERROR(--Table7[[#This Row],[Results 1]:[Results 4]], TRUE))) &amp; " 
}"</f>
        <v>#VALUE!</v>
      </c>
      <c r="AP9" s="16" t="e" cm="1" vm="2">
        <f t="array" ref="AP9">_xlfn.TEXTJOIN("
", TRUE, Table7[[#This Row],[Variable''s Name]] &amp; "." &amp; Table7[[#Headers],[name]:[energy_required]] &amp; " = " &amp; Table7[[#This Row],[name]:[energy_required]]) &amp; "
" &amp; Table7[[#This Row],[Variable''s Name]] &amp; ".ingredients = " &amp; Table7[[#This Row],[Ingredient String]] &amp; "
" &amp; Table7[[#This Row],[Variable''s Name]] &amp; ".results = " &amp; Table7[[#This Row],[Results String]]</f>
        <v>#VALUE!</v>
      </c>
    </row>
    <row r="10" spans="2:43" ht="18.75" customHeight="1">
      <c r="C10" t="s">
        <v>51</v>
      </c>
      <c r="E10" s="2" t="b">
        <f>OR(ISNUMBER(SEARCH("Adv", Table7[[#This Row],[Recipe]])), ISNUMBER(SEARCH("Special", Table7[[#This Row],[Recipe]])))</f>
        <v>0</v>
      </c>
      <c r="F10" s="2" t="s">
        <v>199</v>
      </c>
      <c r="G10" s="2" t="s">
        <v>173</v>
      </c>
      <c r="H10" s="2" t="s">
        <v>219</v>
      </c>
      <c r="I10" s="2" t="s">
        <v>187</v>
      </c>
      <c r="J10" s="2" t="s">
        <v>40</v>
      </c>
      <c r="K10" s="2">
        <v>2</v>
      </c>
      <c r="L10" s="17" t="s">
        <v>209</v>
      </c>
      <c r="M10" s="17"/>
      <c r="N10" s="2">
        <v>1</v>
      </c>
      <c r="P10" s="2" t="s">
        <v>162</v>
      </c>
      <c r="Q10" s="2" t="s">
        <v>84</v>
      </c>
      <c r="R10" s="2">
        <v>5</v>
      </c>
      <c r="S10" s="2">
        <v>15</v>
      </c>
      <c r="T10" s="2">
        <v>1</v>
      </c>
      <c r="V10" s="2" t="s">
        <v>75</v>
      </c>
      <c r="W10" s="2">
        <v>5</v>
      </c>
      <c r="X10" s="2">
        <v>15</v>
      </c>
      <c r="Y10" s="2">
        <v>1</v>
      </c>
      <c r="AJ10" t="str" cm="1">
        <f t="array" ref="AJ10">IF(ISBLANK(Table7[[#This Row],[Result_1_type]]), FALSE, "{ " &amp;
 _xlfn.TEXTJOIN(", ",
          TRUE,
          {"type","name","amount_min","amount_max","probability"} &amp; " = " &amp; IF(NOT(ISNUMBER(Table7[[#This Row],[Result_1_type]:[Result_1_P]])), """" &amp; Table7[[#This Row],[Result_1_type]:[Result_1_P]] &amp; """", Table7[[#This Row],[Result_1_type]:[Result_1_P]]) ) &amp;
  " }" )</f>
        <v>{ type = "item", name = "solid-fuel", amount_min = 5, amount_max = 15, probability = 1 }</v>
      </c>
      <c r="AK10" t="b" cm="1">
        <f t="array" ref="AK10">IF(ISBLANK(Table7[[#This Row],[Result_2_type]]), FALSE, "{ " &amp;
 _xlfn.TEXTJOIN(", ",
          TRUE,
          {"type","name","amount_min","amount_max","probability"} &amp; " = " &amp; IF(NOT(ISNUMBER(Table7[[#This Row],[Result_2_type]:[Result_2_P]])), """" &amp; Table7[[#This Row],[Result_2_type]:[Result_2_P]] &amp; """", Table7[[#This Row],[Result_2_type]:[Result_2_P]]) ) &amp;
  " }" )</f>
        <v>0</v>
      </c>
      <c r="AL10" t="b" cm="1">
        <f t="array" ref="AL10">IF(ISBLANK(Table7[[#This Row],[Result_3_type]]), FALSE, "{ " &amp;
 _xlfn.TEXTJOIN(", ",
          TRUE,
          {"type","name","amount_min","amount_max","probability"} &amp; " = " &amp; IF(NOT(ISNUMBER(Table7[[#This Row],[Result_3_type]:[Result_3_P]])), """" &amp; Table7[[#This Row],[Result_3_type]:[Result_3_P]] &amp; """", Table7[[#This Row],[Result_3_type]:[Result_3_P]]) ) &amp;
  " }" )</f>
        <v>0</v>
      </c>
      <c r="AM10" t="b" cm="1">
        <f t="array" ref="AM10">IF(ISBLANK(Table7[[#This Row],[Result_4_type]]), FALSE, "{ " &amp;
 _xlfn.TEXTJOIN(", ",
          TRUE,
          {"type","name","amount_min","amount_max","probability"} &amp; " = " &amp; IF(NOT(ISNUMBER(Table7[[#This Row],[Result_4_type]:[Result_4_P]])), """" &amp; Table7[[#This Row],[Result_4_type]:[Result_4_P]] &amp; """", Table7[[#This Row],[Result_4_type]:[Result_4_P]]) ) &amp;
  " }" )</f>
        <v>0</v>
      </c>
      <c r="AN10" s="15" t="str" cm="1">
        <f t="array" ref="AN10" xml:space="preserve"> "{ " &amp;
 _xlfn.TEXTJOIN(", ",
          TRUE,
          "{ type = ""item"", name = """ &amp; _xlfn.TRIMRANGE(Table7[[#This Row],[Ingredient 1]:[Ingredient 2]]) &amp; """, amount = " &amp; _xlfn.TRIMRANGE(Table7[[#This Row],[Ingredient 1 Amount]:[Ingredient 2 Amount]]) &amp; " }")
&amp; " }"</f>
        <v>{ { type = "item", name = "crude-asteroid-chunk-item", amount = 1 } }</v>
      </c>
      <c r="AO10" s="15" t="str" cm="1">
        <f t="array" ref="AO10" xml:space="preserve"> "{ 
    " &amp; _xlfn.TEXTJOIN(", 
    ", TRUE, _xlfn._xlws.FILTER(Table7[[#This Row],[Results 1]:[Results 4]], IFERROR(--Table7[[#This Row],[Results 1]:[Results 4]], TRUE))) &amp; " 
}"</f>
        <v>{ 
    { type = "item", name = "solid-fuel", amount_min = 5, amount_max = 15, probability = 1 } 
}</v>
      </c>
      <c r="AP10" s="16" t="str" cm="1">
        <f t="array" ref="AP10">_xlfn.TEXTJOIN("
", TRUE, Table7[[#This Row],[Variable''s Name]] &amp; "." &amp; Table7[[#Headers],[name]:[energy_required]] &amp; " = " &amp; Table7[[#This Row],[name]:[energy_required]]) &amp; "
" &amp; Table7[[#This Row],[Variable''s Name]] &amp; ".ingredients = " &amp; Table7[[#This Row],[Ingredient String]] &amp; "
" &amp; Table7[[#This Row],[Variable''s Name]] &amp; ".results = " &amp; Table7[[#This Row],[Results String]]</f>
        <v>crude_asteroid_chunk_crushing.name = "crude-asteroid-chunk-crushing"
crude_asteroid_chunk_crushing.icon = "__Astra-Asteroids__/graphics/crude_crushing_basic.png"
crude_asteroid_chunk_crushing.order = "a"
crude_asteroid_chunk_crushing.enabled = false
crude_asteroid_chunk_crushing.energy_required = 2
crude_asteroid_chunk_crushing.ingredients = { { type = "item", name = "crude-asteroid-chunk-item", amount = 1 } }
crude_asteroid_chunk_crushing.results = { 
    { type = "item", name = "solid-fuel", amount_min = 5, amount_max = 15, probability = 1 } 
}</v>
      </c>
    </row>
    <row r="11" spans="2:43" ht="18.75" customHeight="1">
      <c r="C11" t="s">
        <v>103</v>
      </c>
      <c r="D11" s="2" t="s">
        <v>13</v>
      </c>
      <c r="E11" s="2" t="b">
        <f>OR(ISNUMBER(SEARCH("Adv", Table7[[#This Row],[Recipe]])), ISNUMBER(SEARCH("Special", Table7[[#This Row],[Recipe]])))</f>
        <v>0</v>
      </c>
      <c r="G11" s="2" t="s">
        <v>110</v>
      </c>
      <c r="H11" s="2" t="s">
        <v>118</v>
      </c>
      <c r="J11" s="2" t="s">
        <v>40</v>
      </c>
      <c r="K11" s="2">
        <v>2</v>
      </c>
      <c r="L11" s="17" t="s">
        <v>121</v>
      </c>
      <c r="M11" s="17"/>
      <c r="N11" s="2">
        <v>1</v>
      </c>
      <c r="T11" s="2">
        <v>1</v>
      </c>
      <c r="Y11" s="2">
        <v>1</v>
      </c>
      <c r="AJ11" t="b" cm="1">
        <f t="array" ref="AJ11">IF(ISBLANK(Table7[[#This Row],[Result_1_type]]), FALSE, "{ " &amp;
 _xlfn.TEXTJOIN(", ",
          TRUE,
          {"type","name","amount_min","amount_max","probability"} &amp; " = " &amp; IF(NOT(ISNUMBER(Table7[[#This Row],[Result_1_type]:[Result_1_P]])), """" &amp; Table7[[#This Row],[Result_1_type]:[Result_1_P]] &amp; """", Table7[[#This Row],[Result_1_type]:[Result_1_P]]) ) &amp;
  " }" )</f>
        <v>0</v>
      </c>
      <c r="AK11" t="b" cm="1">
        <f t="array" ref="AK11">IF(ISBLANK(Table7[[#This Row],[Result_2_type]]), FALSE, "{ " &amp;
 _xlfn.TEXTJOIN(", ",
          TRUE,
          {"type","name","amount_min","amount_max","probability"} &amp; " = " &amp; IF(NOT(ISNUMBER(Table7[[#This Row],[Result_2_type]:[Result_2_P]])), """" &amp; Table7[[#This Row],[Result_2_type]:[Result_2_P]] &amp; """", Table7[[#This Row],[Result_2_type]:[Result_2_P]]) ) &amp;
  " }" )</f>
        <v>0</v>
      </c>
      <c r="AL11" t="b" cm="1">
        <f t="array" ref="AL11">IF(ISBLANK(Table7[[#This Row],[Result_3_type]]), FALSE, "{ " &amp;
 _xlfn.TEXTJOIN(", ",
          TRUE,
          {"type","name","amount_min","amount_max","probability"} &amp; " = " &amp; IF(NOT(ISNUMBER(Table7[[#This Row],[Result_3_type]:[Result_3_P]])), """" &amp; Table7[[#This Row],[Result_3_type]:[Result_3_P]] &amp; """", Table7[[#This Row],[Result_3_type]:[Result_3_P]]) ) &amp;
  " }" )</f>
        <v>0</v>
      </c>
      <c r="AM11" t="b" cm="1">
        <f t="array" ref="AM11">IF(ISBLANK(Table7[[#This Row],[Result_4_type]]), FALSE, "{ " &amp;
 _xlfn.TEXTJOIN(", ",
          TRUE,
          {"type","name","amount_min","amount_max","probability"} &amp; " = " &amp; IF(NOT(ISNUMBER(Table7[[#This Row],[Result_4_type]:[Result_4_P]])), """" &amp; Table7[[#This Row],[Result_4_type]:[Result_4_P]] &amp; """", Table7[[#This Row],[Result_4_type]:[Result_4_P]]) ) &amp;
  " }" )</f>
        <v>0</v>
      </c>
      <c r="AN11" s="15" t="str" cm="1">
        <f t="array" ref="AN11" xml:space="preserve"> "{ " &amp;
 _xlfn.TEXTJOIN(", ",
          TRUE,
          "{ type = ""item"", name = """ &amp; _xlfn.TRIMRANGE(Table7[[#This Row],[Ingredient 1]:[Ingredient 2]]) &amp; """, amount = " &amp; _xlfn.TRIMRANGE(Table7[[#This Row],[Ingredient 1 Amount]:[Ingredient 2 Amount]]) &amp; " }")
&amp; " }"</f>
        <v>{ { type = "item", name = "carbonic-asteroid-chunk", amount = 1 } }</v>
      </c>
      <c r="AO11" s="15" t="e" cm="1" vm="1">
        <f t="array" ref="AO11" xml:space="preserve"> "{ 
    " &amp; _xlfn.TEXTJOIN(", 
    ", TRUE, _xlfn._xlws.FILTER(Table7[[#This Row],[Results 1]:[Results 4]], IFERROR(--Table7[[#This Row],[Results 1]:[Results 4]], TRUE))) &amp; " 
}"</f>
        <v>#VALUE!</v>
      </c>
      <c r="AP11" s="16" t="e" cm="1" vm="2">
        <f t="array" ref="AP11">_xlfn.TEXTJOIN("
", TRUE, Table7[[#This Row],[Variable''s Name]] &amp; "." &amp; Table7[[#Headers],[name]:[energy_required]] &amp; " = " &amp; Table7[[#This Row],[name]:[energy_required]]) &amp; "
" &amp; Table7[[#This Row],[Variable''s Name]] &amp; ".ingredients = " &amp; Table7[[#This Row],[Ingredient String]] &amp; "
" &amp; Table7[[#This Row],[Variable''s Name]] &amp; ".results = " &amp; Table7[[#This Row],[Results String]]</f>
        <v>#VALUE!</v>
      </c>
    </row>
    <row r="12" spans="2:43" ht="18.75" customHeight="1">
      <c r="C12" t="s">
        <v>52</v>
      </c>
      <c r="E12" s="2" t="b">
        <f>OR(ISNUMBER(SEARCH("Adv", Table7[[#This Row],[Recipe]])), ISNUMBER(SEARCH("Special", Table7[[#This Row],[Recipe]])))</f>
        <v>0</v>
      </c>
      <c r="F12" s="2" t="s">
        <v>200</v>
      </c>
      <c r="G12" s="2" t="s">
        <v>174</v>
      </c>
      <c r="H12" s="2" t="s">
        <v>216</v>
      </c>
      <c r="I12" s="2" t="s">
        <v>86</v>
      </c>
      <c r="J12" s="2" t="s">
        <v>40</v>
      </c>
      <c r="K12" s="2">
        <v>2</v>
      </c>
      <c r="L12" s="17" t="s">
        <v>210</v>
      </c>
      <c r="M12" s="17"/>
      <c r="N12" s="2">
        <v>1</v>
      </c>
      <c r="P12" s="2" t="s">
        <v>162</v>
      </c>
      <c r="Q12" s="2" t="s">
        <v>68</v>
      </c>
      <c r="R12" s="2">
        <v>4</v>
      </c>
      <c r="S12" s="2">
        <v>6</v>
      </c>
      <c r="T12" s="2">
        <v>1</v>
      </c>
      <c r="U12" s="2" t="s">
        <v>162</v>
      </c>
      <c r="V12" s="2" t="s">
        <v>78</v>
      </c>
      <c r="W12" s="2">
        <v>1</v>
      </c>
      <c r="X12" s="2">
        <v>2</v>
      </c>
      <c r="Y12" s="2">
        <v>0.15</v>
      </c>
      <c r="AE12" s="2" t="s">
        <v>162</v>
      </c>
      <c r="AF12" s="2" t="s">
        <v>210</v>
      </c>
      <c r="AG12" s="2">
        <v>1</v>
      </c>
      <c r="AH12" s="2">
        <v>1</v>
      </c>
      <c r="AI12" s="2">
        <v>0.05</v>
      </c>
      <c r="AJ12" t="str" cm="1">
        <f t="array" ref="AJ12">IF(ISBLANK(Table7[[#This Row],[Result_1_type]]), FALSE, "{ " &amp;
 _xlfn.TEXTJOIN(", ",
          TRUE,
          {"type","name","amount_min","amount_max","probability"} &amp; " = " &amp; IF(NOT(ISNUMBER(Table7[[#This Row],[Result_1_type]:[Result_1_P]])), """" &amp; Table7[[#This Row],[Result_1_type]:[Result_1_P]] &amp; """", Table7[[#This Row],[Result_1_type]:[Result_1_P]]) ) &amp;
  " }" )</f>
        <v>{ type = "item", name = "stone", amount_min = 4, amount_max = 6, probability = 1 }</v>
      </c>
      <c r="AK12" t="str" cm="1">
        <f t="array" ref="AK12">IF(ISBLANK(Table7[[#This Row],[Result_2_type]]), FALSE, "{ " &amp;
 _xlfn.TEXTJOIN(", ",
          TRUE,
          {"type","name","amount_min","amount_max","probability"} &amp; " = " &amp; IF(NOT(ISNUMBER(Table7[[#This Row],[Result_2_type]:[Result_2_P]])), """" &amp; Table7[[#This Row],[Result_2_type]:[Result_2_P]] &amp; """", Table7[[#This Row],[Result_2_type]:[Result_2_P]]) ) &amp;
  " }" )</f>
        <v>{ type = "item", name = "tungsten-ore", amount_min = 1, amount_max = 2, probability = 0.15 }</v>
      </c>
      <c r="AL12" t="b" cm="1">
        <f t="array" ref="AL12">IF(ISBLANK(Table7[[#This Row],[Result_3_type]]), FALSE, "{ " &amp;
 _xlfn.TEXTJOIN(", ",
          TRUE,
          {"type","name","amount_min","amount_max","probability"} &amp; " = " &amp; IF(NOT(ISNUMBER(Table7[[#This Row],[Result_3_type]:[Result_3_P]])), """" &amp; Table7[[#This Row],[Result_3_type]:[Result_3_P]] &amp; """", Table7[[#This Row],[Result_3_type]:[Result_3_P]]) ) &amp;
  " }" )</f>
        <v>0</v>
      </c>
      <c r="AM12" t="str" cm="1">
        <f t="array" ref="AM12">IF(ISBLANK(Table7[[#This Row],[Result_4_type]]), FALSE, "{ " &amp;
 _xlfn.TEXTJOIN(", ",
          TRUE,
          {"type","name","amount_min","amount_max","probability"} &amp; " = " &amp; IF(NOT(ISNUMBER(Table7[[#This Row],[Result_4_type]:[Result_4_P]])), """" &amp; Table7[[#This Row],[Result_4_type]:[Result_4_P]] &amp; """", Table7[[#This Row],[Result_4_type]:[Result_4_P]]) ) &amp;
  " }" )</f>
        <v>{ type = "item", name = "vulcanic-asteroid-chunk-item", amount_min = 1, amount_max = 1, probability = 0.05 }</v>
      </c>
      <c r="AN12" s="15" t="str" cm="1">
        <f t="array" ref="AN12" xml:space="preserve"> "{ " &amp;
 _xlfn.TEXTJOIN(", ",
          TRUE,
          "{ type = ""item"", name = """ &amp; _xlfn.TRIMRANGE(Table7[[#This Row],[Ingredient 1]:[Ingredient 2]]) &amp; """, amount = " &amp; _xlfn.TRIMRANGE(Table7[[#This Row],[Ingredient 1 Amount]:[Ingredient 2 Amount]]) &amp; " }")
&amp; " }"</f>
        <v>{ { type = "item", name = "vulcanic-asteroid-chunk-item", amount = 1 } }</v>
      </c>
      <c r="AO12" s="15" t="str" cm="1">
        <f t="array" ref="AO12" xml:space="preserve"> "{ 
    " &amp; _xlfn.TEXTJOIN(", 
    ", TRUE, _xlfn._xlws.FILTER(Table7[[#This Row],[Results 1]:[Results 4]], IFERROR(--Table7[[#This Row],[Results 1]:[Results 4]], TRUE))) &amp; " 
}"</f>
        <v>{ 
    { type = "item", name = "stone", amount_min = 4, amount_max = 6, probability = 1 }, 
    { type = "item", name = "tungsten-ore", amount_min = 1, amount_max = 2, probability = 0.15 }, 
    { type = "item", name = "vulcanic-asteroid-chunk-item", amount_min = 1, amount_max = 1, probability = 0.05 } 
}</v>
      </c>
      <c r="AP12" s="16" t="str" cm="1">
        <f t="array" ref="AP12">_xlfn.TEXTJOIN("
", TRUE, Table7[[#This Row],[Variable''s Name]] &amp; "." &amp; Table7[[#Headers],[name]:[energy_required]] &amp; " = " &amp; Table7[[#This Row],[name]:[energy_required]]) &amp; "
" &amp; Table7[[#This Row],[Variable''s Name]] &amp; ".ingredients = " &amp; Table7[[#This Row],[Ingredient String]] &amp; "
" &amp; Table7[[#This Row],[Variable''s Name]] &amp; ".results = " &amp; Table7[[#This Row],[Results String]]</f>
        <v>vulcanus_asteroid_chunk_crushing.name = "vulcanus-asteroid-chunk-crushing"
vulcanus_asteroid_chunk_crushing.icon = "__Astra-Asteroids__/graphics/vulcanus_crushing_basic.png"
vulcanus_asteroid_chunk_crushing.order = "v"
vulcanus_asteroid_chunk_crushing.enabled = false
vulcanus_asteroid_chunk_crushing.energy_required = 2
vulcanus_asteroid_chunk_crushing.ingredients = { { type = "item", name = "vulcanic-asteroid-chunk-item", amount = 1 } }
vulcanus_asteroid_chunk_crushing.results = { 
    { type = "item", name = "stone", amount_min = 4, amount_max = 6, probability = 1 }, 
    { type = "item", name = "tungsten-ore", amount_min = 1, amount_max = 2, probability = 0.15 }, 
    { type = "item", name = "vulcanic-asteroid-chunk-item", amount_min = 1, amount_max = 1, probability = 0.05 } 
}</v>
      </c>
    </row>
    <row r="13" spans="2:43" ht="18.75" customHeight="1">
      <c r="C13" t="s">
        <v>42</v>
      </c>
      <c r="E13" s="2" t="b">
        <f>OR(ISNUMBER(SEARCH("Adv", Table7[[#This Row],[Recipe]])), ISNUMBER(SEARCH("Special", Table7[[#This Row],[Recipe]])))</f>
        <v>0</v>
      </c>
      <c r="F13" s="2" t="s">
        <v>201</v>
      </c>
      <c r="G13" s="2" t="s">
        <v>175</v>
      </c>
      <c r="H13" s="2" t="s">
        <v>217</v>
      </c>
      <c r="I13" s="2" t="s">
        <v>36</v>
      </c>
      <c r="J13" s="2" t="s">
        <v>40</v>
      </c>
      <c r="K13" s="2">
        <v>2</v>
      </c>
      <c r="L13" s="17" t="s">
        <v>211</v>
      </c>
      <c r="M13" s="17"/>
      <c r="N13" s="2">
        <v>1</v>
      </c>
      <c r="P13" s="2" t="s">
        <v>162</v>
      </c>
      <c r="Q13" s="2" t="s">
        <v>68</v>
      </c>
      <c r="R13" s="2">
        <v>5</v>
      </c>
      <c r="S13" s="2">
        <v>10</v>
      </c>
      <c r="T13" s="2">
        <v>1</v>
      </c>
      <c r="U13" s="2" t="s">
        <v>162</v>
      </c>
      <c r="V13" s="2" t="s">
        <v>67</v>
      </c>
      <c r="W13" s="2">
        <v>1</v>
      </c>
      <c r="X13" s="2">
        <v>1</v>
      </c>
      <c r="Y13" s="2">
        <v>0.1</v>
      </c>
      <c r="AE13" s="2" t="s">
        <v>162</v>
      </c>
      <c r="AF13" s="2" t="s">
        <v>211</v>
      </c>
      <c r="AG13" s="2">
        <v>1</v>
      </c>
      <c r="AH13" s="2">
        <v>1</v>
      </c>
      <c r="AI13" s="2">
        <v>0.05</v>
      </c>
      <c r="AJ13" t="str" cm="1">
        <f t="array" ref="AJ13">IF(ISBLANK(Table7[[#This Row],[Result_1_type]]), FALSE, "{ " &amp;
 _xlfn.TEXTJOIN(", ",
          TRUE,
          {"type","name","amount_min","amount_max","probability"} &amp; " = " &amp; IF(NOT(ISNUMBER(Table7[[#This Row],[Result_1_type]:[Result_1_P]])), """" &amp; Table7[[#This Row],[Result_1_type]:[Result_1_P]] &amp; """", Table7[[#This Row],[Result_1_type]:[Result_1_P]]) ) &amp;
  " }" )</f>
        <v>{ type = "item", name = "stone", amount_min = 5, amount_max = 10, probability = 1 }</v>
      </c>
      <c r="AK13" t="str" cm="1">
        <f t="array" ref="AK13">IF(ISBLANK(Table7[[#This Row],[Result_2_type]]), FALSE, "{ " &amp;
 _xlfn.TEXTJOIN(", ",
          TRUE,
          {"type","name","amount_min","amount_max","probability"} &amp; " = " &amp; IF(NOT(ISNUMBER(Table7[[#This Row],[Result_2_type]:[Result_2_P]])), """" &amp; Table7[[#This Row],[Result_2_type]:[Result_2_P]] &amp; """", Table7[[#This Row],[Result_2_type]:[Result_2_P]]) ) &amp;
  " }" )</f>
        <v>{ type = "item", name = "uranium-ore", amount_min = 1, amount_max = 1, probability = 0.1 }</v>
      </c>
      <c r="AL13" t="b" cm="1">
        <f t="array" ref="AL13">IF(ISBLANK(Table7[[#This Row],[Result_3_type]]), FALSE, "{ " &amp;
 _xlfn.TEXTJOIN(", ",
          TRUE,
          {"type","name","amount_min","amount_max","probability"} &amp; " = " &amp; IF(NOT(ISNUMBER(Table7[[#This Row],[Result_3_type]:[Result_3_P]])), """" &amp; Table7[[#This Row],[Result_3_type]:[Result_3_P]] &amp; """", Table7[[#This Row],[Result_3_type]:[Result_3_P]]) ) &amp;
  " }" )</f>
        <v>0</v>
      </c>
      <c r="AM13" t="str" cm="1">
        <f t="array" ref="AM13">IF(ISBLANK(Table7[[#This Row],[Result_4_type]]), FALSE, "{ " &amp;
 _xlfn.TEXTJOIN(", ",
          TRUE,
          {"type","name","amount_min","amount_max","probability"} &amp; " = " &amp; IF(NOT(ISNUMBER(Table7[[#This Row],[Result_4_type]:[Result_4_P]])), """" &amp; Table7[[#This Row],[Result_4_type]:[Result_4_P]] &amp; """", Table7[[#This Row],[Result_4_type]:[Result_4_P]]) ) &amp;
  " }" )</f>
        <v>{ type = "item", name = "nauvis-asteroid-chunk-item", amount_min = 1, amount_max = 1, probability = 0.05 }</v>
      </c>
      <c r="AN13" s="15" t="str" cm="1">
        <f t="array" ref="AN13" xml:space="preserve"> "{ " &amp;
 _xlfn.TEXTJOIN(", ",
          TRUE,
          "{ type = ""item"", name = """ &amp; _xlfn.TRIMRANGE(Table7[[#This Row],[Ingredient 1]:[Ingredient 2]]) &amp; """, amount = " &amp; _xlfn.TRIMRANGE(Table7[[#This Row],[Ingredient 1 Amount]:[Ingredient 2 Amount]]) &amp; " }")
&amp; " }"</f>
        <v>{ { type = "item", name = "nauvis-asteroid-chunk-item", amount = 1 } }</v>
      </c>
      <c r="AO13" s="15" t="str" cm="1">
        <f t="array" ref="AO13" xml:space="preserve"> "{ 
    " &amp; _xlfn.TEXTJOIN(", 
    ", TRUE, _xlfn._xlws.FILTER(Table7[[#This Row],[Results 1]:[Results 4]], IFERROR(--Table7[[#This Row],[Results 1]:[Results 4]], TRUE))) &amp; " 
}"</f>
        <v>{ 
    { type = "item", name = "stone", amount_min = 5, amount_max = 10, probability = 1 }, 
    { type = "item", name = "uranium-ore", amount_min = 1, amount_max = 1, probability = 0.1 }, 
    { type = "item", name = "nauvis-asteroid-chunk-item", amount_min = 1, amount_max = 1, probability = 0.05 } 
}</v>
      </c>
      <c r="AP13" s="16" t="str" cm="1">
        <f t="array" ref="AP13">_xlfn.TEXTJOIN("
", TRUE, Table7[[#This Row],[Variable''s Name]] &amp; "." &amp; Table7[[#Headers],[name]:[energy_required]] &amp; " = " &amp; Table7[[#This Row],[name]:[energy_required]]) &amp; "
" &amp; Table7[[#This Row],[Variable''s Name]] &amp; ".ingredients = " &amp; Table7[[#This Row],[Ingredient String]] &amp; "
" &amp; Table7[[#This Row],[Variable''s Name]] &amp; ".results = " &amp; Table7[[#This Row],[Results String]]</f>
        <v>nauvis_asteroid_chunk_crushing.name = "nauvis-asteroid-chunk-crushing"
nauvis_asteroid_chunk_crushing.icon = "__Astra-Asteroids__/graphics/nauvis_crushing_basic.png"
nauvis_asteroid_chunk_crushing.order = "n"
nauvis_asteroid_chunk_crushing.enabled = false
nauvis_asteroid_chunk_crushing.energy_required = 2
nauvis_asteroid_chunk_crushing.ingredients = { { type = "item", name = "nauvis-asteroid-chunk-item", amount = 1 } }
nauvis_asteroid_chunk_crushing.results = { 
    { type = "item", name = "stone", amount_min = 5, amount_max = 10, probability = 1 }, 
    { type = "item", name = "uranium-ore", amount_min = 1, amount_max = 1, probability = 0.1 }, 
    { type = "item", name = "nauvis-asteroid-chunk-item", amount_min = 1, amount_max = 1, probability = 0.05 } 
}</v>
      </c>
    </row>
    <row r="14" spans="2:43" ht="18.75" customHeight="1">
      <c r="C14" t="s">
        <v>54</v>
      </c>
      <c r="D14" s="2" t="s">
        <v>13</v>
      </c>
      <c r="E14" s="2" t="b">
        <f>OR(ISNUMBER(SEARCH("Adv", Table7[[#This Row],[Recipe]])), ISNUMBER(SEARCH("Special", Table7[[#This Row],[Recipe]])))</f>
        <v>0</v>
      </c>
      <c r="F14" s="2" t="s">
        <v>230</v>
      </c>
      <c r="G14" s="2" t="s">
        <v>176</v>
      </c>
      <c r="H14" s="2" t="s">
        <v>218</v>
      </c>
      <c r="I14" s="2" t="s">
        <v>186</v>
      </c>
      <c r="J14" s="2" t="s">
        <v>40</v>
      </c>
      <c r="K14" s="2">
        <v>2</v>
      </c>
      <c r="L14" s="17" t="s">
        <v>212</v>
      </c>
      <c r="M14" s="17"/>
      <c r="N14" s="2">
        <v>1</v>
      </c>
      <c r="P14" s="2" t="s">
        <v>162</v>
      </c>
      <c r="Q14" s="2" t="s">
        <v>68</v>
      </c>
      <c r="R14" s="2">
        <v>3</v>
      </c>
      <c r="S14" s="2">
        <v>5</v>
      </c>
      <c r="T14" s="2">
        <v>1</v>
      </c>
      <c r="U14" s="2" t="s">
        <v>162</v>
      </c>
      <c r="V14" s="2" t="s">
        <v>81</v>
      </c>
      <c r="W14" s="2">
        <v>1</v>
      </c>
      <c r="X14" s="2">
        <v>1</v>
      </c>
      <c r="Y14" s="2">
        <v>0.05</v>
      </c>
      <c r="Z14" s="2" t="s">
        <v>162</v>
      </c>
      <c r="AA14" s="2" t="s">
        <v>82</v>
      </c>
      <c r="AB14" s="2">
        <v>1</v>
      </c>
      <c r="AC14" s="2">
        <v>1</v>
      </c>
      <c r="AD14" s="2">
        <v>0.05</v>
      </c>
      <c r="AE14" s="2" t="s">
        <v>162</v>
      </c>
      <c r="AF14" s="2" t="s">
        <v>212</v>
      </c>
      <c r="AG14" s="2">
        <v>1</v>
      </c>
      <c r="AH14" s="2">
        <v>1</v>
      </c>
      <c r="AI14" s="2">
        <v>0.05</v>
      </c>
      <c r="AJ14" t="str" cm="1">
        <f t="array" ref="AJ14">IF(ISBLANK(Table7[[#This Row],[Result_1_type]]), FALSE, "{ " &amp;
 _xlfn.TEXTJOIN(", ",
          TRUE,
          {"type","name","amount_min","amount_max","probability"} &amp; " = " &amp; IF(NOT(ISNUMBER(Table7[[#This Row],[Result_1_type]:[Result_1_P]])), """" &amp; Table7[[#This Row],[Result_1_type]:[Result_1_P]] &amp; """", Table7[[#This Row],[Result_1_type]:[Result_1_P]]) ) &amp;
  " }" )</f>
        <v>{ type = "item", name = "stone", amount_min = 3, amount_max = 5, probability = 1 }</v>
      </c>
      <c r="AK14" t="str" cm="1">
        <f t="array" ref="AK14">IF(ISBLANK(Table7[[#This Row],[Result_2_type]]), FALSE, "{ " &amp;
 _xlfn.TEXTJOIN(", ",
          TRUE,
          {"type","name","amount_min","amount_max","probability"} &amp; " = " &amp; IF(NOT(ISNUMBER(Table7[[#This Row],[Result_2_type]:[Result_2_P]])), """" &amp; Table7[[#This Row],[Result_2_type]:[Result_2_P]] &amp; """", Table7[[#This Row],[Result_2_type]:[Result_2_P]]) ) &amp;
  " }" )</f>
        <v>{ type = "item", name = "yumako-seed", amount_min = 1, amount_max = 1, probability = 0.05 }</v>
      </c>
      <c r="AL14" t="str" cm="1">
        <f t="array" ref="AL14">IF(ISBLANK(Table7[[#This Row],[Result_3_type]]), FALSE, "{ " &amp;
 _xlfn.TEXTJOIN(", ",
          TRUE,
          {"type","name","amount_min","amount_max","probability"} &amp; " = " &amp; IF(NOT(ISNUMBER(Table7[[#This Row],[Result_3_type]:[Result_3_P]])), """" &amp; Table7[[#This Row],[Result_3_type]:[Result_3_P]] &amp; """", Table7[[#This Row],[Result_3_type]:[Result_3_P]]) ) &amp;
  " }" )</f>
        <v>{ type = "item", name = "jellynut-seed", amount_min = 1, amount_max = 1, probability = 0.05 }</v>
      </c>
      <c r="AM14" t="str" cm="1">
        <f t="array" ref="AM14">IF(ISBLANK(Table7[[#This Row],[Result_4_type]]), FALSE, "{ " &amp;
 _xlfn.TEXTJOIN(", ",
          TRUE,
          {"type","name","amount_min","amount_max","probability"} &amp; " = " &amp; IF(NOT(ISNUMBER(Table7[[#This Row],[Result_4_type]:[Result_4_P]])), """" &amp; Table7[[#This Row],[Result_4_type]:[Result_4_P]] &amp; """", Table7[[#This Row],[Result_4_type]:[Result_4_P]]) ) &amp;
  " }" )</f>
        <v>{ type = "item", name = "gleba-asteroid-chunk-item", amount_min = 1, amount_max = 1, probability = 0.05 }</v>
      </c>
      <c r="AN14" s="15" t="str" cm="1">
        <f t="array" ref="AN14" xml:space="preserve"> "{ " &amp;
 _xlfn.TEXTJOIN(", ",
          TRUE,
          "{ type = ""item"", name = """ &amp; _xlfn.TRIMRANGE(Table7[[#This Row],[Ingredient 1]:[Ingredient 2]]) &amp; """, amount = " &amp; _xlfn.TRIMRANGE(Table7[[#This Row],[Ingredient 1 Amount]:[Ingredient 2 Amount]]) &amp; " }")
&amp; " }"</f>
        <v>{ { type = "item", name = "gleba-asteroid-chunk-item", amount = 1 } }</v>
      </c>
      <c r="AO14" s="15" t="str" cm="1">
        <f t="array" ref="AO14" xml:space="preserve"> "{ 
    " &amp; _xlfn.TEXTJOIN(", 
    ", TRUE, _xlfn._xlws.FILTER(Table7[[#This Row],[Results 1]:[Results 4]], IFERROR(--Table7[[#This Row],[Results 1]:[Results 4]], TRUE))) &amp; " 
}"</f>
        <v>{ 
    { type = "item", name = "stone", amount_min = 3, amount_max = 5, probability = 1 }, 
    { type = "item", name = "yumako-seed", amount_min = 1, amount_max = 1, probability = 0.05 }, 
    { type = "item", name = "jellynut-seed", amount_min = 1, amount_max = 1, probability = 0.05 }, 
    { type = "item", name = "gleba-asteroid-chunk-item", amount_min = 1, amount_max = 1, probability = 0.05 } 
}</v>
      </c>
      <c r="AP14" s="16" t="str" cm="1">
        <f t="array" ref="AP14">_xlfn.TEXTJOIN("
", TRUE, Table7[[#This Row],[Variable''s Name]] &amp; "." &amp; Table7[[#Headers],[name]:[energy_required]] &amp; " = " &amp; Table7[[#This Row],[name]:[energy_required]]) &amp; "
" &amp; Table7[[#This Row],[Variable''s Name]] &amp; ".ingredients = " &amp; Table7[[#This Row],[Ingredient String]] &amp; "
" &amp; Table7[[#This Row],[Variable''s Name]] &amp; ".results = " &amp; Table7[[#This Row],[Results String]]</f>
        <v>gleba_asteroid_chunk_crushing.name = "gleba-asteroid-chunk-crushing"
gleba_asteroid_chunk_crushing.icon = "__Astra-Asteroids__/graphics/gleba_crushing_basic.png"
gleba_asteroid_chunk_crushing.order = "g"
gleba_asteroid_chunk_crushing.enabled = false
gleba_asteroid_chunk_crushing.energy_required = 2
gleba_asteroid_chunk_crushing.ingredients = { { type = "item", name = "gleba-asteroid-chunk-item", amount = 1 } }
gleba_asteroid_chunk_crushing.results = { 
    { type = "item", name = "stone", amount_min = 3, amount_max = 5, probability = 1 }, 
    { type = "item", name = "yumako-seed", amount_min = 1, amount_max = 1, probability = 0.05 }, 
    { type = "item", name = "jellynut-seed", amount_min = 1, amount_max = 1, probability = 0.05 }, 
    { type = "item", name = "gleba-asteroid-chunk-item", amount_min = 1, amount_max = 1, probability = 0.05 } 
}</v>
      </c>
    </row>
    <row r="15" spans="2:43" ht="18.75" customHeight="1">
      <c r="C15" t="s">
        <v>53</v>
      </c>
      <c r="E15" s="2" t="b">
        <f>OR(ISNUMBER(SEARCH("Adv", Table7[[#This Row],[Recipe]])), ISNUMBER(SEARCH("Special", Table7[[#This Row],[Recipe]])))</f>
        <v>0</v>
      </c>
      <c r="F15" s="2" t="s">
        <v>202</v>
      </c>
      <c r="G15" s="2" t="s">
        <v>177</v>
      </c>
      <c r="H15" s="2" t="s">
        <v>215</v>
      </c>
      <c r="I15" s="2" t="s">
        <v>35</v>
      </c>
      <c r="J15" s="2" t="s">
        <v>40</v>
      </c>
      <c r="K15" s="2">
        <v>2</v>
      </c>
      <c r="L15" s="17" t="s">
        <v>213</v>
      </c>
      <c r="M15" s="17"/>
      <c r="N15" s="2">
        <v>1</v>
      </c>
      <c r="P15" s="2" t="s">
        <v>162</v>
      </c>
      <c r="Q15" s="2" t="s">
        <v>68</v>
      </c>
      <c r="R15" s="2">
        <v>4</v>
      </c>
      <c r="S15" s="2">
        <v>6</v>
      </c>
      <c r="T15" s="2">
        <v>1</v>
      </c>
      <c r="U15" s="2" t="s">
        <v>162</v>
      </c>
      <c r="V15" s="2" t="s">
        <v>80</v>
      </c>
      <c r="W15" s="2">
        <v>2</v>
      </c>
      <c r="X15" s="2">
        <v>12</v>
      </c>
      <c r="Y15" s="2">
        <v>1</v>
      </c>
      <c r="AE15" s="2" t="s">
        <v>162</v>
      </c>
      <c r="AF15" s="2" t="s">
        <v>213</v>
      </c>
      <c r="AG15" s="2">
        <v>1</v>
      </c>
      <c r="AH15" s="2">
        <v>1</v>
      </c>
      <c r="AI15" s="2">
        <v>0.05</v>
      </c>
      <c r="AJ15" t="str" cm="1">
        <f t="array" ref="AJ15">IF(ISBLANK(Table7[[#This Row],[Result_1_type]]), FALSE, "{ " &amp;
 _xlfn.TEXTJOIN(", ",
          TRUE,
          {"type","name","amount_min","amount_max","probability"} &amp; " = " &amp; IF(NOT(ISNUMBER(Table7[[#This Row],[Result_1_type]:[Result_1_P]])), """" &amp; Table7[[#This Row],[Result_1_type]:[Result_1_P]] &amp; """", Table7[[#This Row],[Result_1_type]:[Result_1_P]]) ) &amp;
  " }" )</f>
        <v>{ type = "item", name = "stone", amount_min = 4, amount_max = 6, probability = 1 }</v>
      </c>
      <c r="AK15" t="str" cm="1">
        <f t="array" ref="AK15">IF(ISBLANK(Table7[[#This Row],[Result_2_type]]), FALSE, "{ " &amp;
 _xlfn.TEXTJOIN(", ",
          TRUE,
          {"type","name","amount_min","amount_max","probability"} &amp; " = " &amp; IF(NOT(ISNUMBER(Table7[[#This Row],[Result_2_type]:[Result_2_P]])), """" &amp; Table7[[#This Row],[Result_2_type]:[Result_2_P]] &amp; """", Table7[[#This Row],[Result_2_type]:[Result_2_P]]) ) &amp;
  " }" )</f>
        <v>{ type = "item", name = "scrap", amount_min = 2, amount_max = 12, probability = 1 }</v>
      </c>
      <c r="AL15" t="b" cm="1">
        <f t="array" ref="AL15">IF(ISBLANK(Table7[[#This Row],[Result_3_type]]), FALSE, "{ " &amp;
 _xlfn.TEXTJOIN(", ",
          TRUE,
          {"type","name","amount_min","amount_max","probability"} &amp; " = " &amp; IF(NOT(ISNUMBER(Table7[[#This Row],[Result_3_type]:[Result_3_P]])), """" &amp; Table7[[#This Row],[Result_3_type]:[Result_3_P]] &amp; """", Table7[[#This Row],[Result_3_type]:[Result_3_P]]) ) &amp;
  " }" )</f>
        <v>0</v>
      </c>
      <c r="AM15" t="str" cm="1">
        <f t="array" ref="AM15">IF(ISBLANK(Table7[[#This Row],[Result_4_type]]), FALSE, "{ " &amp;
 _xlfn.TEXTJOIN(", ",
          TRUE,
          {"type","name","amount_min","amount_max","probability"} &amp; " = " &amp; IF(NOT(ISNUMBER(Table7[[#This Row],[Result_4_type]:[Result_4_P]])), """" &amp; Table7[[#This Row],[Result_4_type]:[Result_4_P]] &amp; """", Table7[[#This Row],[Result_4_type]:[Result_4_P]]) ) &amp;
  " }" )</f>
        <v>{ type = "item", name = "fulgoran-asteroid-chunk-item", amount_min = 1, amount_max = 1, probability = 0.05 }</v>
      </c>
      <c r="AN15" s="15" t="str" cm="1">
        <f t="array" ref="AN15" xml:space="preserve"> "{ " &amp;
 _xlfn.TEXTJOIN(", ",
          TRUE,
          "{ type = ""item"", name = """ &amp; _xlfn.TRIMRANGE(Table7[[#This Row],[Ingredient 1]:[Ingredient 2]]) &amp; """, amount = " &amp; _xlfn.TRIMRANGE(Table7[[#This Row],[Ingredient 1 Amount]:[Ingredient 2 Amount]]) &amp; " }")
&amp; " }"</f>
        <v>{ { type = "item", name = "fulgoran-asteroid-chunk-item", amount = 1 } }</v>
      </c>
      <c r="AO15" s="15" t="str" cm="1">
        <f t="array" ref="AO15" xml:space="preserve"> "{ 
    " &amp; _xlfn.TEXTJOIN(", 
    ", TRUE, _xlfn._xlws.FILTER(Table7[[#This Row],[Results 1]:[Results 4]], IFERROR(--Table7[[#This Row],[Results 1]:[Results 4]], TRUE))) &amp; " 
}"</f>
        <v>{ 
    { type = "item", name = "stone", amount_min = 4, amount_max = 6, probability = 1 }, 
    { type = "item", name = "scrap", amount_min = 2, amount_max = 12, probability = 1 }, 
    { type = "item", name = "fulgoran-asteroid-chunk-item", amount_min = 1, amount_max = 1, probability = 0.05 } 
}</v>
      </c>
      <c r="AP15" s="16" t="str" cm="1">
        <f t="array" ref="AP15">_xlfn.TEXTJOIN("
", TRUE, Table7[[#This Row],[Variable''s Name]] &amp; "." &amp; Table7[[#Headers],[name]:[energy_required]] &amp; " = " &amp; Table7[[#This Row],[name]:[energy_required]]) &amp; "
" &amp; Table7[[#This Row],[Variable''s Name]] &amp; ".ingredients = " &amp; Table7[[#This Row],[Ingredient String]] &amp; "
" &amp; Table7[[#This Row],[Variable''s Name]] &amp; ".results = " &amp; Table7[[#This Row],[Results String]]</f>
        <v>fulgoran_asteroid_chunk_crushing.name = "fulgoran-asteroid-chunk-crushing"
fulgoran_asteroid_chunk_crushing.icon = "__Astra-Asteroids__/graphics/fulgora_crushing_basic.png"
fulgoran_asteroid_chunk_crushing.order = "f"
fulgoran_asteroid_chunk_crushing.enabled = false
fulgoran_asteroid_chunk_crushing.energy_required = 2
fulgoran_asteroid_chunk_crushing.ingredients = { { type = "item", name = "fulgoran-asteroid-chunk-item", amount = 1 } }
fulgoran_asteroid_chunk_crushing.results = { 
    { type = "item", name = "stone", amount_min = 4, amount_max = 6, probability = 1 }, 
    { type = "item", name = "scrap", amount_min = 2, amount_max = 12, probability = 1 }, 
    { type = "item", name = "fulgoran-asteroid-chunk-item", amount_min = 1, amount_max = 1, probability = 0.05 } 
}</v>
      </c>
    </row>
    <row r="16" spans="2:43" ht="18.75" customHeight="1">
      <c r="C16" t="s">
        <v>108</v>
      </c>
      <c r="D16" s="2" t="s">
        <v>13</v>
      </c>
      <c r="E16" s="2" t="b">
        <f>OR(ISNUMBER(SEARCH("Adv", Table7[[#This Row],[Recipe]])), ISNUMBER(SEARCH("Special", Table7[[#This Row],[Recipe]])))</f>
        <v>1</v>
      </c>
      <c r="G16" s="2" t="s">
        <v>114</v>
      </c>
      <c r="H16" s="2" t="s">
        <v>117</v>
      </c>
      <c r="J16" s="2" t="s">
        <v>40</v>
      </c>
      <c r="K16" s="2">
        <v>5</v>
      </c>
      <c r="L16" s="17" t="s">
        <v>122</v>
      </c>
      <c r="M16" s="17"/>
      <c r="N16" s="2">
        <v>1</v>
      </c>
      <c r="P16" s="2" t="s">
        <v>162</v>
      </c>
      <c r="Q16" s="2" t="s">
        <v>73</v>
      </c>
      <c r="R16" s="2">
        <v>3</v>
      </c>
      <c r="S16" s="2">
        <v>3</v>
      </c>
      <c r="T16" s="2">
        <v>1</v>
      </c>
      <c r="U16" s="2" t="s">
        <v>162</v>
      </c>
      <c r="V16" s="2" t="s">
        <v>74</v>
      </c>
      <c r="W16" s="2">
        <v>2</v>
      </c>
      <c r="X16" s="2">
        <v>2</v>
      </c>
      <c r="Y16" s="2">
        <v>1</v>
      </c>
      <c r="Z16" s="2" t="s">
        <v>162</v>
      </c>
      <c r="AA16" s="2" t="s">
        <v>122</v>
      </c>
      <c r="AB16" s="2">
        <v>1</v>
      </c>
      <c r="AC16" s="2">
        <v>1</v>
      </c>
      <c r="AD16" s="2">
        <v>0.05</v>
      </c>
      <c r="AE16" s="2" t="s">
        <v>162</v>
      </c>
      <c r="AJ16" t="str" cm="1">
        <f t="array" ref="AJ16">IF(ISBLANK(Table7[[#This Row],[Result_1_type]]), FALSE, "{ " &amp;
 _xlfn.TEXTJOIN(", ",
          TRUE,
          {"type","name","amount_min","amount_max","probability"} &amp; " = " &amp; IF(NOT(ISNUMBER(Table7[[#This Row],[Result_1_type]:[Result_1_P]])), """" &amp; Table7[[#This Row],[Result_1_type]:[Result_1_P]] &amp; """", Table7[[#This Row],[Result_1_type]:[Result_1_P]]) ) &amp;
  " }" )</f>
        <v>{ type = "item", name = "ice", amount_min = 3, amount_max = 3, probability = 1 }</v>
      </c>
      <c r="AK16" t="str" cm="1">
        <f t="array" ref="AK16">IF(ISBLANK(Table7[[#This Row],[Result_2_type]]), FALSE, "{ " &amp;
 _xlfn.TEXTJOIN(", ",
          TRUE,
          {"type","name","amount_min","amount_max","probability"} &amp; " = " &amp; IF(NOT(ISNUMBER(Table7[[#This Row],[Result_2_type]:[Result_2_P]])), """" &amp; Table7[[#This Row],[Result_2_type]:[Result_2_P]] &amp; """", Table7[[#This Row],[Result_2_type]:[Result_2_P]]) ) &amp;
  " }" )</f>
        <v>{ type = "item", name = "calcite", amount_min = 2, amount_max = 2, probability = 1 }</v>
      </c>
      <c r="AL16" t="str" cm="1">
        <f t="array" ref="AL16">IF(ISBLANK(Table7[[#This Row],[Result_3_type]]), FALSE, "{ " &amp;
 _xlfn.TEXTJOIN(", ",
          TRUE,
          {"type","name","amount_min","amount_max","probability"} &amp; " = " &amp; IF(NOT(ISNUMBER(Table7[[#This Row],[Result_3_type]:[Result_3_P]])), """" &amp; Table7[[#This Row],[Result_3_type]:[Result_3_P]] &amp; """", Table7[[#This Row],[Result_3_type]:[Result_3_P]]) ) &amp;
  " }" )</f>
        <v>{ type = "item", name = "oxide-asteroid-chunk", amount_min = 1, amount_max = 1, probability = 0.05 }</v>
      </c>
      <c r="AM16" t="str" cm="1">
        <f t="array" ref="AM16">IF(ISBLANK(Table7[[#This Row],[Result_4_type]]), FALSE, "{ " &amp;
 _xlfn.TEXTJOIN(", ",
          TRUE,
          {"type","name","amount_min","amount_max","probability"} &amp; " = " &amp; IF(NOT(ISNUMBER(Table7[[#This Row],[Result_4_type]:[Result_4_P]])), """" &amp; Table7[[#This Row],[Result_4_type]:[Result_4_P]] &amp; """", Table7[[#This Row],[Result_4_type]:[Result_4_P]]) ) &amp;
  " }" )</f>
        <v>{ type = "item", name = "", amount_min = "", amount_max = "", probability = "" }</v>
      </c>
      <c r="AN16" s="15" t="str" cm="1">
        <f t="array" ref="AN16" xml:space="preserve"> "{ " &amp;
 _xlfn.TEXTJOIN(", ",
          TRUE,
          "{ type = ""item"", name = """ &amp; _xlfn.TRIMRANGE(Table7[[#This Row],[Ingredient 1]:[Ingredient 2]]) &amp; """, amount = " &amp; _xlfn.TRIMRANGE(Table7[[#This Row],[Ingredient 1 Amount]:[Ingredient 2 Amount]]) &amp; " }")
&amp; " }"</f>
        <v>{ { type = "item", name = "oxide-asteroid-chunk", amount = 1 } }</v>
      </c>
      <c r="AO16" s="15" t="str" cm="1">
        <f t="array" ref="AO16" xml:space="preserve"> "{ 
    " &amp; _xlfn.TEXTJOIN(", 
    ", TRUE, _xlfn._xlws.FILTER(Table7[[#This Row],[Results 1]:[Results 4]], IFERROR(--Table7[[#This Row],[Results 1]:[Results 4]], TRUE))) &amp; " 
}"</f>
        <v>{ 
    { type = "item", name = "ice", amount_min = 3, amount_max = 3, probability = 1 }, 
    { type = "item", name = "calcite", amount_min = 2, amount_max = 2, probability = 1 }, 
    { type = "item", name = "oxide-asteroid-chunk", amount_min = 1, amount_max = 1, probability = 0.05 }, 
    { type = "item", name = "", amount_min = "", amount_max = "", probability = "" } 
}</v>
      </c>
      <c r="AP16" s="16" t="str" cm="1">
        <f t="array" ref="AP16">_xlfn.TEXTJOIN("
", TRUE, Table7[[#This Row],[Variable''s Name]] &amp; "." &amp; Table7[[#Headers],[name]:[energy_required]] &amp; " = " &amp; Table7[[#This Row],[name]:[energy_required]]) &amp; "
" &amp; Table7[[#This Row],[Variable''s Name]] &amp; ".ingredients = " &amp; Table7[[#This Row],[Ingredient String]] &amp; "
" &amp; Table7[[#This Row],[Variable''s Name]] &amp; ".results = " &amp; Table7[[#This Row],[Results String]]</f>
        <v>.name = "advanced-oxide-asteroid-crushing"
.icon = "__space-age__\graphics\icons\advanced-oxide-asteroid-crushing.png"
.order = 
.enabled = false
.energy_required = 5
.ingredients = { { type = "item", name = "oxide-asteroid-chunk", amount = 1 } }
.results = { 
    { type = "item", name = "ice", amount_min = 3, amount_max = 3, probability = 1 }, 
    { type = "item", name = "calcite", amount_min = 2, amount_max = 2, probability = 1 }, 
    { type = "item", name = "oxide-asteroid-chunk", amount_min = 1, amount_max = 1, probability = 0.05 }, 
    { type = "item", name = "", amount_min = "", amount_max = "", probability = "" } 
}</v>
      </c>
    </row>
    <row r="17" spans="3:42" ht="18.75" customHeight="1">
      <c r="C17" t="s">
        <v>106</v>
      </c>
      <c r="D17" s="2" t="s">
        <v>13</v>
      </c>
      <c r="E17" s="2" t="b">
        <f>OR(ISNUMBER(SEARCH("Adv", Table7[[#This Row],[Recipe]])), ISNUMBER(SEARCH("Special", Table7[[#This Row],[Recipe]])))</f>
        <v>1</v>
      </c>
      <c r="G17" s="2" t="s">
        <v>112</v>
      </c>
      <c r="H17" s="2" t="s">
        <v>115</v>
      </c>
      <c r="J17" s="2" t="s">
        <v>40</v>
      </c>
      <c r="K17" s="2">
        <v>5</v>
      </c>
      <c r="L17" s="17" t="s">
        <v>62</v>
      </c>
      <c r="M17" s="17"/>
      <c r="N17" s="2">
        <v>1</v>
      </c>
      <c r="P17" s="2" t="s">
        <v>162</v>
      </c>
      <c r="Q17" s="2" t="s">
        <v>69</v>
      </c>
      <c r="R17" s="2">
        <v>10</v>
      </c>
      <c r="S17" s="2">
        <v>10</v>
      </c>
      <c r="T17" s="2">
        <v>1</v>
      </c>
      <c r="U17" s="2" t="s">
        <v>162</v>
      </c>
      <c r="V17" s="2" t="s">
        <v>70</v>
      </c>
      <c r="W17" s="2">
        <v>4</v>
      </c>
      <c r="X17" s="2">
        <v>4</v>
      </c>
      <c r="Y17" s="2">
        <v>1</v>
      </c>
      <c r="Z17" s="2" t="s">
        <v>162</v>
      </c>
      <c r="AA17" s="2" t="s">
        <v>123</v>
      </c>
      <c r="AB17" s="2">
        <v>1</v>
      </c>
      <c r="AC17" s="2">
        <v>1</v>
      </c>
      <c r="AD17" s="2">
        <v>0.05</v>
      </c>
      <c r="AE17" s="2" t="s">
        <v>162</v>
      </c>
      <c r="AJ17" t="str" cm="1">
        <f t="array" ref="AJ17">IF(ISBLANK(Table7[[#This Row],[Result_1_type]]), FALSE, "{ " &amp;
 _xlfn.TEXTJOIN(", ",
          TRUE,
          {"type","name","amount_min","amount_max","probability"} &amp; " = " &amp; IF(NOT(ISNUMBER(Table7[[#This Row],[Result_1_type]:[Result_1_P]])), """" &amp; Table7[[#This Row],[Result_1_type]:[Result_1_P]] &amp; """", Table7[[#This Row],[Result_1_type]:[Result_1_P]]) ) &amp;
  " }" )</f>
        <v>{ type = "item", name = "iron-ore", amount_min = 10, amount_max = 10, probability = 1 }</v>
      </c>
      <c r="AK17" t="str" cm="1">
        <f t="array" ref="AK17">IF(ISBLANK(Table7[[#This Row],[Result_2_type]]), FALSE, "{ " &amp;
 _xlfn.TEXTJOIN(", ",
          TRUE,
          {"type","name","amount_min","amount_max","probability"} &amp; " = " &amp; IF(NOT(ISNUMBER(Table7[[#This Row],[Result_2_type]:[Result_2_P]])), """" &amp; Table7[[#This Row],[Result_2_type]:[Result_2_P]] &amp; """", Table7[[#This Row],[Result_2_type]:[Result_2_P]]) ) &amp;
  " }" )</f>
        <v>{ type = "item", name = "copper-ore", amount_min = 4, amount_max = 4, probability = 1 }</v>
      </c>
      <c r="AL17" t="str" cm="1">
        <f t="array" ref="AL17">IF(ISBLANK(Table7[[#This Row],[Result_3_type]]), FALSE, "{ " &amp;
 _xlfn.TEXTJOIN(", ",
          TRUE,
          {"type","name","amount_min","amount_max","probability"} &amp; " = " &amp; IF(NOT(ISNUMBER(Table7[[#This Row],[Result_3_type]:[Result_3_P]])), """" &amp; Table7[[#This Row],[Result_3_type]:[Result_3_P]] &amp; """", Table7[[#This Row],[Result_3_type]:[Result_3_P]]) ) &amp;
  " }" )</f>
        <v>{ type = "item", name = "metallic-asteroid-chunk", amount_min = 1, amount_max = 1, probability = 0.05 }</v>
      </c>
      <c r="AM17" t="str" cm="1">
        <f t="array" ref="AM17">IF(ISBLANK(Table7[[#This Row],[Result_4_type]]), FALSE, "{ " &amp;
 _xlfn.TEXTJOIN(", ",
          TRUE,
          {"type","name","amount_min","amount_max","probability"} &amp; " = " &amp; IF(NOT(ISNUMBER(Table7[[#This Row],[Result_4_type]:[Result_4_P]])), """" &amp; Table7[[#This Row],[Result_4_type]:[Result_4_P]] &amp; """", Table7[[#This Row],[Result_4_type]:[Result_4_P]]) ) &amp;
  " }" )</f>
        <v>{ type = "item", name = "", amount_min = "", amount_max = "", probability = "" }</v>
      </c>
      <c r="AN17" s="15" t="str" cm="1">
        <f t="array" ref="AN17" xml:space="preserve"> "{ " &amp;
 _xlfn.TEXTJOIN(", ",
          TRUE,
          "{ type = ""item"", name = """ &amp; _xlfn.TRIMRANGE(Table7[[#This Row],[Ingredient 1]:[Ingredient 2]]) &amp; """, amount = " &amp; _xlfn.TRIMRANGE(Table7[[#This Row],[Ingredient 1 Amount]:[Ingredient 2 Amount]]) &amp; " }")
&amp; " }"</f>
        <v>{ { type = "item", name = "metallic-astroid-chunk", amount = 1 } }</v>
      </c>
      <c r="AO17" s="15" t="str" cm="1">
        <f t="array" ref="AO17" xml:space="preserve"> "{ 
    " &amp; _xlfn.TEXTJOIN(", 
    ", TRUE, _xlfn._xlws.FILTER(Table7[[#This Row],[Results 1]:[Results 4]], IFERROR(--Table7[[#This Row],[Results 1]:[Results 4]], TRUE))) &amp; " 
}"</f>
        <v>{ 
    { type = "item", name = "iron-ore", amount_min = 10, amount_max = 10, probability = 1 }, 
    { type = "item", name = "copper-ore", amount_min = 4, amount_max = 4, probability = 1 }, 
    { type = "item", name = "metallic-asteroid-chunk", amount_min = 1, amount_max = 1, probability = 0.05 }, 
    { type = "item", name = "", amount_min = "", amount_max = "", probability = "" } 
}</v>
      </c>
      <c r="AP17" s="16" t="str" cm="1">
        <f t="array" ref="AP17">_xlfn.TEXTJOIN("
", TRUE, Table7[[#This Row],[Variable''s Name]] &amp; "." &amp; Table7[[#Headers],[name]:[energy_required]] &amp; " = " &amp; Table7[[#This Row],[name]:[energy_required]]) &amp; "
" &amp; Table7[[#This Row],[Variable''s Name]] &amp; ".ingredients = " &amp; Table7[[#This Row],[Ingredient String]] &amp; "
" &amp; Table7[[#This Row],[Variable''s Name]] &amp; ".results = " &amp; Table7[[#This Row],[Results String]]</f>
        <v>.name = "advanced-metallic-asteroid-crushing"
.icon = "__space-age__\graphics\icons\advanced-metallic-asteroid-crushing.png"
.order = 
.enabled = false
.energy_required = 5
.ingredients = { { type = "item", name = "metallic-astroid-chunk", amount = 1 } }
.results = { 
    { type = "item", name = "iron-ore", amount_min = 10, amount_max = 10, probability = 1 }, 
    { type = "item", name = "copper-ore", amount_min = 4, amount_max = 4, probability = 1 }, 
    { type = "item", name = "metallic-asteroid-chunk", amount_min = 1, amount_max = 1, probability = 0.05 }, 
    { type = "item", name = "", amount_min = "", amount_max = "", probability = "" } 
}</v>
      </c>
    </row>
    <row r="18" spans="3:42" ht="18.75" customHeight="1">
      <c r="C18" t="s">
        <v>107</v>
      </c>
      <c r="D18" s="2" t="s">
        <v>13</v>
      </c>
      <c r="E18" s="2" t="b">
        <f>OR(ISNUMBER(SEARCH("Adv", Table7[[#This Row],[Recipe]])), ISNUMBER(SEARCH("Special", Table7[[#This Row],[Recipe]])))</f>
        <v>1</v>
      </c>
      <c r="G18" s="2" t="s">
        <v>113</v>
      </c>
      <c r="H18" s="2" t="s">
        <v>116</v>
      </c>
      <c r="J18" s="2" t="s">
        <v>40</v>
      </c>
      <c r="K18" s="2">
        <v>5</v>
      </c>
      <c r="L18" s="17" t="s">
        <v>121</v>
      </c>
      <c r="M18" s="17"/>
      <c r="N18" s="2">
        <v>1</v>
      </c>
      <c r="P18" s="2" t="s">
        <v>162</v>
      </c>
      <c r="Q18" s="2" t="s">
        <v>71</v>
      </c>
      <c r="R18" s="2">
        <v>5</v>
      </c>
      <c r="S18" s="2">
        <v>5</v>
      </c>
      <c r="T18" s="2">
        <v>1</v>
      </c>
      <c r="U18" s="2" t="s">
        <v>162</v>
      </c>
      <c r="V18" s="2" t="s">
        <v>72</v>
      </c>
      <c r="W18" s="2">
        <v>2</v>
      </c>
      <c r="X18" s="2">
        <v>2</v>
      </c>
      <c r="Y18" s="2">
        <v>1</v>
      </c>
      <c r="Z18" s="2" t="s">
        <v>162</v>
      </c>
      <c r="AA18" s="2" t="s">
        <v>121</v>
      </c>
      <c r="AB18" s="2">
        <v>1</v>
      </c>
      <c r="AC18" s="2">
        <v>1</v>
      </c>
      <c r="AD18" s="2">
        <v>0.05</v>
      </c>
      <c r="AE18" s="2" t="s">
        <v>162</v>
      </c>
      <c r="AJ18" t="str" cm="1">
        <f t="array" ref="AJ18">IF(ISBLANK(Table7[[#This Row],[Result_1_type]]), FALSE, "{ " &amp;
 _xlfn.TEXTJOIN(", ",
          TRUE,
          {"type","name","amount_min","amount_max","probability"} &amp; " = " &amp; IF(NOT(ISNUMBER(Table7[[#This Row],[Result_1_type]:[Result_1_P]])), """" &amp; Table7[[#This Row],[Result_1_type]:[Result_1_P]] &amp; """", Table7[[#This Row],[Result_1_type]:[Result_1_P]]) ) &amp;
  " }" )</f>
        <v>{ type = "item", name = "carbon", amount_min = 5, amount_max = 5, probability = 1 }</v>
      </c>
      <c r="AK18" t="str" cm="1">
        <f t="array" ref="AK18">IF(ISBLANK(Table7[[#This Row],[Result_2_type]]), FALSE, "{ " &amp;
 _xlfn.TEXTJOIN(", ",
          TRUE,
          {"type","name","amount_min","amount_max","probability"} &amp; " = " &amp; IF(NOT(ISNUMBER(Table7[[#This Row],[Result_2_type]:[Result_2_P]])), """" &amp; Table7[[#This Row],[Result_2_type]:[Result_2_P]] &amp; """", Table7[[#This Row],[Result_2_type]:[Result_2_P]]) ) &amp;
  " }" )</f>
        <v>{ type = "item", name = "sulfur", amount_min = 2, amount_max = 2, probability = 1 }</v>
      </c>
      <c r="AL18" t="str" cm="1">
        <f t="array" ref="AL18">IF(ISBLANK(Table7[[#This Row],[Result_3_type]]), FALSE, "{ " &amp;
 _xlfn.TEXTJOIN(", ",
          TRUE,
          {"type","name","amount_min","amount_max","probability"} &amp; " = " &amp; IF(NOT(ISNUMBER(Table7[[#This Row],[Result_3_type]:[Result_3_P]])), """" &amp; Table7[[#This Row],[Result_3_type]:[Result_3_P]] &amp; """", Table7[[#This Row],[Result_3_type]:[Result_3_P]]) ) &amp;
  " }" )</f>
        <v>{ type = "item", name = "carbonic-asteroid-chunk", amount_min = 1, amount_max = 1, probability = 0.05 }</v>
      </c>
      <c r="AM18" t="str" cm="1">
        <f t="array" ref="AM18">IF(ISBLANK(Table7[[#This Row],[Result_4_type]]), FALSE, "{ " &amp;
 _xlfn.TEXTJOIN(", ",
          TRUE,
          {"type","name","amount_min","amount_max","probability"} &amp; " = " &amp; IF(NOT(ISNUMBER(Table7[[#This Row],[Result_4_type]:[Result_4_P]])), """" &amp; Table7[[#This Row],[Result_4_type]:[Result_4_P]] &amp; """", Table7[[#This Row],[Result_4_type]:[Result_4_P]]) ) &amp;
  " }" )</f>
        <v>{ type = "item", name = "", amount_min = "", amount_max = "", probability = "" }</v>
      </c>
      <c r="AN18" s="15" t="str" cm="1">
        <f t="array" ref="AN18" xml:space="preserve"> "{ " &amp;
 _xlfn.TEXTJOIN(", ",
          TRUE,
          "{ type = ""item"", name = """ &amp; _xlfn.TRIMRANGE(Table7[[#This Row],[Ingredient 1]:[Ingredient 2]]) &amp; """, amount = " &amp; _xlfn.TRIMRANGE(Table7[[#This Row],[Ingredient 1 Amount]:[Ingredient 2 Amount]]) &amp; " }")
&amp; " }"</f>
        <v>{ { type = "item", name = "carbonic-asteroid-chunk", amount = 1 } }</v>
      </c>
      <c r="AO18" s="15" t="str" cm="1">
        <f t="array" ref="AO18" xml:space="preserve"> "{ 
    " &amp; _xlfn.TEXTJOIN(", 
    ", TRUE, _xlfn._xlws.FILTER(Table7[[#This Row],[Results 1]:[Results 4]], IFERROR(--Table7[[#This Row],[Results 1]:[Results 4]], TRUE))) &amp; " 
}"</f>
        <v>{ 
    { type = "item", name = "carbon", amount_min = 5, amount_max = 5, probability = 1 }, 
    { type = "item", name = "sulfur", amount_min = 2, amount_max = 2, probability = 1 }, 
    { type = "item", name = "carbonic-asteroid-chunk", amount_min = 1, amount_max = 1, probability = 0.05 }, 
    { type = "item", name = "", amount_min = "", amount_max = "", probability = "" } 
}</v>
      </c>
      <c r="AP18" s="16" t="str" cm="1">
        <f t="array" ref="AP18">_xlfn.TEXTJOIN("
", TRUE, Table7[[#This Row],[Variable''s Name]] &amp; "." &amp; Table7[[#Headers],[name]:[energy_required]] &amp; " = " &amp; Table7[[#This Row],[name]:[energy_required]]) &amp; "
" &amp; Table7[[#This Row],[Variable''s Name]] &amp; ".ingredients = " &amp; Table7[[#This Row],[Ingredient String]] &amp; "
" &amp; Table7[[#This Row],[Variable''s Name]] &amp; ".results = " &amp; Table7[[#This Row],[Results String]]</f>
        <v>.name = "advanced-carbonic-asteroid-crushing"
.icon = "__space-age__\graphics\icons\advanced-carbonic-asteroid-crushing.png"
.order = 
.enabled = false
.energy_required = 5
.ingredients = { { type = "item", name = "carbonic-asteroid-chunk", amount = 1 } }
.results = { 
    { type = "item", name = "carbon", amount_min = 5, amount_max = 5, probability = 1 }, 
    { type = "item", name = "sulfur", amount_min = 2, amount_max = 2, probability = 1 }, 
    { type = "item", name = "carbonic-asteroid-chunk", amount_min = 1, amount_max = 1, probability = 0.05 }, 
    { type = "item", name = "", amount_min = "", amount_max = "", probability = "" } 
}</v>
      </c>
    </row>
    <row r="19" spans="3:42" ht="18.75" customHeight="1">
      <c r="C19" t="s">
        <v>163</v>
      </c>
      <c r="E19" s="2" t="b">
        <f>OR(ISNUMBER(SEARCH("Adv", Table7[[#This Row],[Recipe]])), ISNUMBER(SEARCH("Special", Table7[[#This Row],[Recipe]])))</f>
        <v>1</v>
      </c>
      <c r="F19" s="2" t="s">
        <v>203</v>
      </c>
      <c r="G19" s="2" t="s">
        <v>181</v>
      </c>
      <c r="H19" s="19" t="s">
        <v>216</v>
      </c>
      <c r="I19" s="2" t="s">
        <v>86</v>
      </c>
      <c r="J19" s="2" t="s">
        <v>40</v>
      </c>
      <c r="K19" s="2">
        <v>5</v>
      </c>
      <c r="L19" s="17" t="s">
        <v>210</v>
      </c>
      <c r="M19" s="17"/>
      <c r="N19" s="2">
        <v>1</v>
      </c>
      <c r="P19" s="2" t="s">
        <v>162</v>
      </c>
      <c r="Q19" s="2" t="s">
        <v>68</v>
      </c>
      <c r="R19" s="2">
        <v>8</v>
      </c>
      <c r="S19" s="2">
        <v>8</v>
      </c>
      <c r="T19" s="2">
        <v>1</v>
      </c>
      <c r="U19" s="2" t="s">
        <v>162</v>
      </c>
      <c r="V19" s="2" t="s">
        <v>78</v>
      </c>
      <c r="W19" s="2">
        <v>10</v>
      </c>
      <c r="X19" s="2">
        <v>10</v>
      </c>
      <c r="Y19" s="2">
        <v>1</v>
      </c>
      <c r="AE19" s="2" t="s">
        <v>162</v>
      </c>
      <c r="AF19" s="2" t="s">
        <v>210</v>
      </c>
      <c r="AG19" s="2">
        <v>1</v>
      </c>
      <c r="AH19" s="2">
        <v>1</v>
      </c>
      <c r="AI19" s="2">
        <v>0.05</v>
      </c>
      <c r="AJ19" t="str" cm="1">
        <f t="array" ref="AJ19">IF(ISBLANK(Table7[[#This Row],[Result_1_type]]), FALSE, "{ " &amp;
 _xlfn.TEXTJOIN(", ",
          TRUE,
          {"type","name","amount_min","amount_max","probability"} &amp; " = " &amp; IF(NOT(ISNUMBER(Table7[[#This Row],[Result_1_type]:[Result_1_P]])), """" &amp; Table7[[#This Row],[Result_1_type]:[Result_1_P]] &amp; """", Table7[[#This Row],[Result_1_type]:[Result_1_P]]) ) &amp;
  " }" )</f>
        <v>{ type = "item", name = "stone", amount_min = 8, amount_max = 8, probability = 1 }</v>
      </c>
      <c r="AK19" t="str" cm="1">
        <f t="array" ref="AK19">IF(ISBLANK(Table7[[#This Row],[Result_2_type]]), FALSE, "{ " &amp;
 _xlfn.TEXTJOIN(", ",
          TRUE,
          {"type","name","amount_min","amount_max","probability"} &amp; " = " &amp; IF(NOT(ISNUMBER(Table7[[#This Row],[Result_2_type]:[Result_2_P]])), """" &amp; Table7[[#This Row],[Result_2_type]:[Result_2_P]] &amp; """", Table7[[#This Row],[Result_2_type]:[Result_2_P]]) ) &amp;
  " }" )</f>
        <v>{ type = "item", name = "tungsten-ore", amount_min = 10, amount_max = 10, probability = 1 }</v>
      </c>
      <c r="AL19" t="b" cm="1">
        <f t="array" ref="AL19">IF(ISBLANK(Table7[[#This Row],[Result_3_type]]), FALSE, "{ " &amp;
 _xlfn.TEXTJOIN(", ",
          TRUE,
          {"type","name","amount_min","amount_max","probability"} &amp; " = " &amp; IF(NOT(ISNUMBER(Table7[[#This Row],[Result_3_type]:[Result_3_P]])), """" &amp; Table7[[#This Row],[Result_3_type]:[Result_3_P]] &amp; """", Table7[[#This Row],[Result_3_type]:[Result_3_P]]) ) &amp;
  " }" )</f>
        <v>0</v>
      </c>
      <c r="AM19" t="str" cm="1">
        <f t="array" ref="AM19">IF(ISBLANK(Table7[[#This Row],[Result_4_type]]), FALSE, "{ " &amp;
 _xlfn.TEXTJOIN(", ",
          TRUE,
          {"type","name","amount_min","amount_max","probability"} &amp; " = " &amp; IF(NOT(ISNUMBER(Table7[[#This Row],[Result_4_type]:[Result_4_P]])), """" &amp; Table7[[#This Row],[Result_4_type]:[Result_4_P]] &amp; """", Table7[[#This Row],[Result_4_type]:[Result_4_P]]) ) &amp;
  " }" )</f>
        <v>{ type = "item", name = "vulcanic-asteroid-chunk-item", amount_min = 1, amount_max = 1, probability = 0.05 }</v>
      </c>
      <c r="AN19" s="15" t="str" cm="1">
        <f t="array" ref="AN19" xml:space="preserve"> "{ " &amp;
 _xlfn.TEXTJOIN(", ",
          TRUE,
          "{ type = ""item"", name = """ &amp; _xlfn.TRIMRANGE(Table7[[#This Row],[Ingredient 1]:[Ingredient 2]]) &amp; """, amount = " &amp; _xlfn.TRIMRANGE(Table7[[#This Row],[Ingredient 1 Amount]:[Ingredient 2 Amount]]) &amp; " }")
&amp; " }"</f>
        <v>{ { type = "item", name = "vulcanic-asteroid-chunk-item", amount = 1 } }</v>
      </c>
      <c r="AO19" s="15" t="str" cm="1">
        <f t="array" ref="AO19" xml:space="preserve"> "{ 
    " &amp; _xlfn.TEXTJOIN(", 
    ", TRUE, _xlfn._xlws.FILTER(Table7[[#This Row],[Results 1]:[Results 4]], IFERROR(--Table7[[#This Row],[Results 1]:[Results 4]], TRUE))) &amp; " 
}"</f>
        <v>{ 
    { type = "item", name = "stone", amount_min = 8, amount_max = 8, probability = 1 }, 
    { type = "item", name = "tungsten-ore", amount_min = 10, amount_max = 10, probability = 1 }, 
    { type = "item", name = "vulcanic-asteroid-chunk-item", amount_min = 1, amount_max = 1, probability = 0.05 } 
}</v>
      </c>
      <c r="AP19" s="16" t="str" cm="1">
        <f t="array" ref="AP19">_xlfn.TEXTJOIN("
", TRUE, Table7[[#This Row],[Variable''s Name]] &amp; "." &amp; Table7[[#Headers],[name]:[energy_required]] &amp; " = " &amp; Table7[[#This Row],[name]:[energy_required]]) &amp; "
" &amp; Table7[[#This Row],[Variable''s Name]] &amp; ".ingredients = " &amp; Table7[[#This Row],[Ingredient String]] &amp; "
" &amp; Table7[[#This Row],[Variable''s Name]] &amp; ".results = " &amp; Table7[[#This Row],[Results String]]</f>
        <v>vulcanis_asteroid_chunk_crushing_adv.name = "vulcanis-asteroid-chunk-crushing-adv"
vulcanis_asteroid_chunk_crushing_adv.icon = "__Astra-Asteroids__/graphics/vulcanus_crushing_basic.png"
vulcanis_asteroid_chunk_crushing_adv.order = "v"
vulcanis_asteroid_chunk_crushing_adv.enabled = false
vulcanis_asteroid_chunk_crushing_adv.energy_required = 5
vulcanis_asteroid_chunk_crushing_adv.ingredients = { { type = "item", name = "vulcanic-asteroid-chunk-item", amount = 1 } }
vulcanis_asteroid_chunk_crushing_adv.results = { 
    { type = "item", name = "stone", amount_min = 8, amount_max = 8, probability = 1 }, 
    { type = "item", name = "tungsten-ore", amount_min = 10, amount_max = 10, probability = 1 }, 
    { type = "item", name = "vulcanic-asteroid-chunk-item", amount_min = 1, amount_max = 1, probability = 0.05 } 
}</v>
      </c>
    </row>
    <row r="20" spans="3:42" ht="18.75" customHeight="1">
      <c r="C20" t="s">
        <v>48</v>
      </c>
      <c r="E20" s="2" t="b">
        <f>OR(ISNUMBER(SEARCH("Adv", Table7[[#This Row],[Recipe]])), ISNUMBER(SEARCH("Special", Table7[[#This Row],[Recipe]])))</f>
        <v>1</v>
      </c>
      <c r="F20" s="2" t="s">
        <v>204</v>
      </c>
      <c r="G20" s="2" t="s">
        <v>178</v>
      </c>
      <c r="H20" s="19" t="s">
        <v>217</v>
      </c>
      <c r="I20" s="2" t="s">
        <v>36</v>
      </c>
      <c r="J20" s="2" t="s">
        <v>40</v>
      </c>
      <c r="K20" s="2">
        <v>5</v>
      </c>
      <c r="L20" s="17" t="s">
        <v>211</v>
      </c>
      <c r="M20" s="17"/>
      <c r="N20" s="2">
        <v>1</v>
      </c>
      <c r="P20" s="2" t="s">
        <v>162</v>
      </c>
      <c r="Q20" s="2" t="s">
        <v>68</v>
      </c>
      <c r="R20" s="2">
        <v>4</v>
      </c>
      <c r="S20" s="2">
        <v>8</v>
      </c>
      <c r="T20" s="2">
        <v>1</v>
      </c>
      <c r="U20" s="2" t="s">
        <v>162</v>
      </c>
      <c r="V20" s="2" t="s">
        <v>67</v>
      </c>
      <c r="W20" s="2">
        <v>1</v>
      </c>
      <c r="X20" s="2">
        <v>13</v>
      </c>
      <c r="Y20" s="2">
        <v>0.4</v>
      </c>
      <c r="AE20" s="2" t="s">
        <v>162</v>
      </c>
      <c r="AF20" s="2" t="s">
        <v>211</v>
      </c>
      <c r="AG20" s="2">
        <v>1</v>
      </c>
      <c r="AH20" s="2">
        <v>1</v>
      </c>
      <c r="AI20" s="2">
        <v>0.05</v>
      </c>
      <c r="AJ20" t="str" cm="1">
        <f t="array" ref="AJ20">IF(ISBLANK(Table7[[#This Row],[Result_1_type]]), FALSE, "{ " &amp;
 _xlfn.TEXTJOIN(", ",
          TRUE,
          {"type","name","amount_min","amount_max","probability"} &amp; " = " &amp; IF(NOT(ISNUMBER(Table7[[#This Row],[Result_1_type]:[Result_1_P]])), """" &amp; Table7[[#This Row],[Result_1_type]:[Result_1_P]] &amp; """", Table7[[#This Row],[Result_1_type]:[Result_1_P]]) ) &amp;
  " }" )</f>
        <v>{ type = "item", name = "stone", amount_min = 4, amount_max = 8, probability = 1 }</v>
      </c>
      <c r="AK20" t="str" cm="1">
        <f t="array" ref="AK20">IF(ISBLANK(Table7[[#This Row],[Result_2_type]]), FALSE, "{ " &amp;
 _xlfn.TEXTJOIN(", ",
          TRUE,
          {"type","name","amount_min","amount_max","probability"} &amp; " = " &amp; IF(NOT(ISNUMBER(Table7[[#This Row],[Result_2_type]:[Result_2_P]])), """" &amp; Table7[[#This Row],[Result_2_type]:[Result_2_P]] &amp; """", Table7[[#This Row],[Result_2_type]:[Result_2_P]]) ) &amp;
  " }" )</f>
        <v>{ type = "item", name = "uranium-ore", amount_min = 1, amount_max = 13, probability = 0.4 }</v>
      </c>
      <c r="AL20" t="b" cm="1">
        <f t="array" ref="AL20">IF(ISBLANK(Table7[[#This Row],[Result_3_type]]), FALSE, "{ " &amp;
 _xlfn.TEXTJOIN(", ",
          TRUE,
          {"type","name","amount_min","amount_max","probability"} &amp; " = " &amp; IF(NOT(ISNUMBER(Table7[[#This Row],[Result_3_type]:[Result_3_P]])), """" &amp; Table7[[#This Row],[Result_3_type]:[Result_3_P]] &amp; """", Table7[[#This Row],[Result_3_type]:[Result_3_P]]) ) &amp;
  " }" )</f>
        <v>0</v>
      </c>
      <c r="AM20" t="str" cm="1">
        <f t="array" ref="AM20">IF(ISBLANK(Table7[[#This Row],[Result_4_type]]), FALSE, "{ " &amp;
 _xlfn.TEXTJOIN(", ",
          TRUE,
          {"type","name","amount_min","amount_max","probability"} &amp; " = " &amp; IF(NOT(ISNUMBER(Table7[[#This Row],[Result_4_type]:[Result_4_P]])), """" &amp; Table7[[#This Row],[Result_4_type]:[Result_4_P]] &amp; """", Table7[[#This Row],[Result_4_type]:[Result_4_P]]) ) &amp;
  " }" )</f>
        <v>{ type = "item", name = "nauvis-asteroid-chunk-item", amount_min = 1, amount_max = 1, probability = 0.05 }</v>
      </c>
      <c r="AN20" s="15" t="str" cm="1">
        <f t="array" ref="AN20" xml:space="preserve"> "{ " &amp;
 _xlfn.TEXTJOIN(", ",
          TRUE,
          "{ type = ""item"", name = """ &amp; _xlfn.TRIMRANGE(Table7[[#This Row],[Ingredient 1]:[Ingredient 2]]) &amp; """, amount = " &amp; _xlfn.TRIMRANGE(Table7[[#This Row],[Ingredient 1 Amount]:[Ingredient 2 Amount]]) &amp; " }")
&amp; " }"</f>
        <v>{ { type = "item", name = "nauvis-asteroid-chunk-item", amount = 1 } }</v>
      </c>
      <c r="AO20" s="15" t="str" cm="1">
        <f t="array" ref="AO20" xml:space="preserve"> "{ 
    " &amp; _xlfn.TEXTJOIN(", 
    ", TRUE, _xlfn._xlws.FILTER(Table7[[#This Row],[Results 1]:[Results 4]], IFERROR(--Table7[[#This Row],[Results 1]:[Results 4]], TRUE))) &amp; " 
}"</f>
        <v>{ 
    { type = "item", name = "stone", amount_min = 4, amount_max = 8, probability = 1 }, 
    { type = "item", name = "uranium-ore", amount_min = 1, amount_max = 13, probability = 0.4 }, 
    { type = "item", name = "nauvis-asteroid-chunk-item", amount_min = 1, amount_max = 1, probability = 0.05 } 
}</v>
      </c>
      <c r="AP20" s="16" t="str" cm="1">
        <f t="array" ref="AP20">_xlfn.TEXTJOIN("
", TRUE, Table7[[#This Row],[Variable''s Name]] &amp; "." &amp; Table7[[#Headers],[name]:[energy_required]] &amp; " = " &amp; Table7[[#This Row],[name]:[energy_required]]) &amp; "
" &amp; Table7[[#This Row],[Variable''s Name]] &amp; ".ingredients = " &amp; Table7[[#This Row],[Ingredient String]] &amp; "
" &amp; Table7[[#This Row],[Variable''s Name]] &amp; ".results = " &amp; Table7[[#This Row],[Results String]]</f>
        <v>nauvis_asteroid_chunk_crushing_adv.name = "nauvis-asteroid-chunk-crushing-adv"
nauvis_asteroid_chunk_crushing_adv.icon = "__Astra-Asteroids__/graphics/nauvis_crushing_basic.png"
nauvis_asteroid_chunk_crushing_adv.order = "n"
nauvis_asteroid_chunk_crushing_adv.enabled = false
nauvis_asteroid_chunk_crushing_adv.energy_required = 5
nauvis_asteroid_chunk_crushing_adv.ingredients = { { type = "item", name = "nauvis-asteroid-chunk-item", amount = 1 } }
nauvis_asteroid_chunk_crushing_adv.results = { 
    { type = "item", name = "stone", amount_min = 4, amount_max = 8, probability = 1 }, 
    { type = "item", name = "uranium-ore", amount_min = 1, amount_max = 13, probability = 0.4 }, 
    { type = "item", name = "nauvis-asteroid-chunk-item", amount_min = 1, amount_max = 1, probability = 0.05 } 
}</v>
      </c>
    </row>
    <row r="21" spans="3:42" ht="18.75" customHeight="1">
      <c r="C21" t="s">
        <v>164</v>
      </c>
      <c r="D21" s="2" t="s">
        <v>13</v>
      </c>
      <c r="E21" s="2" t="b">
        <f>OR(ISNUMBER(SEARCH("Adv", Table7[[#This Row],[Recipe]])), ISNUMBER(SEARCH("Special", Table7[[#This Row],[Recipe]])))</f>
        <v>1</v>
      </c>
      <c r="F21" s="2" t="s">
        <v>229</v>
      </c>
      <c r="G21" s="2" t="s">
        <v>179</v>
      </c>
      <c r="H21" s="19" t="s">
        <v>218</v>
      </c>
      <c r="I21" s="2" t="s">
        <v>186</v>
      </c>
      <c r="J21" s="2" t="s">
        <v>40</v>
      </c>
      <c r="K21" s="2">
        <v>5</v>
      </c>
      <c r="L21" s="17" t="s">
        <v>212</v>
      </c>
      <c r="M21" s="17"/>
      <c r="N21" s="2">
        <v>1</v>
      </c>
      <c r="AE21" s="2" t="s">
        <v>162</v>
      </c>
      <c r="AF21" s="2" t="s">
        <v>212</v>
      </c>
      <c r="AG21" s="2">
        <v>1</v>
      </c>
      <c r="AH21" s="2">
        <v>1</v>
      </c>
      <c r="AI21" s="2">
        <v>0.05</v>
      </c>
      <c r="AJ21" t="b" cm="1">
        <f t="array" ref="AJ21">IF(ISBLANK(Table7[[#This Row],[Result_1_type]]), FALSE, "{ " &amp;
 _xlfn.TEXTJOIN(", ",
          TRUE,
          {"type","name","amount_min","amount_max","probability"} &amp; " = " &amp; IF(NOT(ISNUMBER(Table7[[#This Row],[Result_1_type]:[Result_1_P]])), """" &amp; Table7[[#This Row],[Result_1_type]:[Result_1_P]] &amp; """", Table7[[#This Row],[Result_1_type]:[Result_1_P]]) ) &amp;
  " }" )</f>
        <v>0</v>
      </c>
      <c r="AK21" t="b" cm="1">
        <f t="array" ref="AK21">IF(ISBLANK(Table7[[#This Row],[Result_2_type]]), FALSE, "{ " &amp;
 _xlfn.TEXTJOIN(", ",
          TRUE,
          {"type","name","amount_min","amount_max","probability"} &amp; " = " &amp; IF(NOT(ISNUMBER(Table7[[#This Row],[Result_2_type]:[Result_2_P]])), """" &amp; Table7[[#This Row],[Result_2_type]:[Result_2_P]] &amp; """", Table7[[#This Row],[Result_2_type]:[Result_2_P]]) ) &amp;
  " }" )</f>
        <v>0</v>
      </c>
      <c r="AL21" t="b" cm="1">
        <f t="array" ref="AL21">IF(ISBLANK(Table7[[#This Row],[Result_3_type]]), FALSE, "{ " &amp;
 _xlfn.TEXTJOIN(", ",
          TRUE,
          {"type","name","amount_min","amount_max","probability"} &amp; " = " &amp; IF(NOT(ISNUMBER(Table7[[#This Row],[Result_3_type]:[Result_3_P]])), """" &amp; Table7[[#This Row],[Result_3_type]:[Result_3_P]] &amp; """", Table7[[#This Row],[Result_3_type]:[Result_3_P]]) ) &amp;
  " }" )</f>
        <v>0</v>
      </c>
      <c r="AM21" t="str" cm="1">
        <f t="array" ref="AM21">IF(ISBLANK(Table7[[#This Row],[Result_4_type]]), FALSE, "{ " &amp;
 _xlfn.TEXTJOIN(", ",
          TRUE,
          {"type","name","amount_min","amount_max","probability"} &amp; " = " &amp; IF(NOT(ISNUMBER(Table7[[#This Row],[Result_4_type]:[Result_4_P]])), """" &amp; Table7[[#This Row],[Result_4_type]:[Result_4_P]] &amp; """", Table7[[#This Row],[Result_4_type]:[Result_4_P]]) ) &amp;
  " }" )</f>
        <v>{ type = "item", name = "gleba-asteroid-chunk-item", amount_min = 1, amount_max = 1, probability = 0.05 }</v>
      </c>
      <c r="AN21" s="15" t="str" cm="1">
        <f t="array" ref="AN21" xml:space="preserve"> "{ " &amp;
 _xlfn.TEXTJOIN(", ",
          TRUE,
          "{ type = ""item"", name = """ &amp; _xlfn.TRIMRANGE(Table7[[#This Row],[Ingredient 1]:[Ingredient 2]]) &amp; """, amount = " &amp; _xlfn.TRIMRANGE(Table7[[#This Row],[Ingredient 1 Amount]:[Ingredient 2 Amount]]) &amp; " }")
&amp; " }"</f>
        <v>{ { type = "item", name = "gleba-asteroid-chunk-item", amount = 1 } }</v>
      </c>
      <c r="AO21" s="15" t="str" cm="1">
        <f t="array" ref="AO21" xml:space="preserve"> "{ 
    " &amp; _xlfn.TEXTJOIN(", 
    ", TRUE, _xlfn._xlws.FILTER(Table7[[#This Row],[Results 1]:[Results 4]], IFERROR(--Table7[[#This Row],[Results 1]:[Results 4]], TRUE))) &amp; " 
}"</f>
        <v>{ 
    { type = "item", name = "gleba-asteroid-chunk-item", amount_min = 1, amount_max = 1, probability = 0.05 } 
}</v>
      </c>
      <c r="AP21" s="16" t="str" cm="1">
        <f t="array" ref="AP21">_xlfn.TEXTJOIN("
", TRUE, Table7[[#This Row],[Variable''s Name]] &amp; "." &amp; Table7[[#Headers],[name]:[energy_required]] &amp; " = " &amp; Table7[[#This Row],[name]:[energy_required]]) &amp; "
" &amp; Table7[[#This Row],[Variable''s Name]] &amp; ".ingredients = " &amp; Table7[[#This Row],[Ingredient String]] &amp; "
" &amp; Table7[[#This Row],[Variable''s Name]] &amp; ".results = " &amp; Table7[[#This Row],[Results String]]</f>
        <v>gleba_asteroid_chunk_crushing_adv.name = "gleba-asteroid-chunk-crushing-adv"
gleba_asteroid_chunk_crushing_adv.icon = "__Astra-Asteroids__/graphics/gleba_crushing_basic.png"
gleba_asteroid_chunk_crushing_adv.order = "g"
gleba_asteroid_chunk_crushing_adv.enabled = false
gleba_asteroid_chunk_crushing_adv.energy_required = 5
gleba_asteroid_chunk_crushing_adv.ingredients = { { type = "item", name = "gleba-asteroid-chunk-item", amount = 1 } }
gleba_asteroid_chunk_crushing_adv.results = { 
    { type = "item", name = "gleba-asteroid-chunk-item", amount_min = 1, amount_max = 1, probability = 0.05 } 
}</v>
      </c>
    </row>
    <row r="22" spans="3:42" ht="18.75" customHeight="1">
      <c r="C22" t="s">
        <v>165</v>
      </c>
      <c r="E22" s="2" t="b">
        <f>OR(ISNUMBER(SEARCH("Adv", Table7[[#This Row],[Recipe]])), ISNUMBER(SEARCH("Special", Table7[[#This Row],[Recipe]])))</f>
        <v>1</v>
      </c>
      <c r="F22" s="2" t="s">
        <v>205</v>
      </c>
      <c r="G22" s="2" t="s">
        <v>185</v>
      </c>
      <c r="H22" s="19" t="s">
        <v>215</v>
      </c>
      <c r="I22" s="2" t="s">
        <v>35</v>
      </c>
      <c r="J22" s="2" t="s">
        <v>40</v>
      </c>
      <c r="K22" s="2">
        <v>5</v>
      </c>
      <c r="L22" s="17" t="s">
        <v>213</v>
      </c>
      <c r="M22" s="17"/>
      <c r="N22" s="2">
        <v>1</v>
      </c>
      <c r="P22" s="2" t="s">
        <v>162</v>
      </c>
      <c r="Q22" s="2" t="s">
        <v>68</v>
      </c>
      <c r="R22" s="2">
        <v>4</v>
      </c>
      <c r="S22" s="2">
        <v>6</v>
      </c>
      <c r="T22" s="2">
        <v>1</v>
      </c>
      <c r="U22" s="2" t="s">
        <v>162</v>
      </c>
      <c r="V22" s="2" t="s">
        <v>80</v>
      </c>
      <c r="W22" s="2">
        <v>35</v>
      </c>
      <c r="X22" s="2">
        <v>75</v>
      </c>
      <c r="Y22" s="2">
        <v>1</v>
      </c>
      <c r="Z22" s="2" t="s">
        <v>162</v>
      </c>
      <c r="AA22" s="2" t="s">
        <v>170</v>
      </c>
      <c r="AB22" s="2">
        <v>3</v>
      </c>
      <c r="AC22" s="2">
        <v>8</v>
      </c>
      <c r="AD22" s="2">
        <v>0.5</v>
      </c>
      <c r="AE22" s="2" t="s">
        <v>162</v>
      </c>
      <c r="AF22" s="2" t="s">
        <v>213</v>
      </c>
      <c r="AG22" s="2">
        <v>1</v>
      </c>
      <c r="AH22" s="2">
        <v>1</v>
      </c>
      <c r="AI22" s="2">
        <v>0.05</v>
      </c>
      <c r="AJ22" t="str" cm="1">
        <f t="array" ref="AJ22">IF(ISBLANK(Table7[[#This Row],[Result_1_type]]), FALSE, "{ " &amp;
 _xlfn.TEXTJOIN(", ",
          TRUE,
          {"type","name","amount_min","amount_max","probability"} &amp; " = " &amp; IF(NOT(ISNUMBER(Table7[[#This Row],[Result_1_type]:[Result_1_P]])), """" &amp; Table7[[#This Row],[Result_1_type]:[Result_1_P]] &amp; """", Table7[[#This Row],[Result_1_type]:[Result_1_P]]) ) &amp;
  " }" )</f>
        <v>{ type = "item", name = "stone", amount_min = 4, amount_max = 6, probability = 1 }</v>
      </c>
      <c r="AK22" t="str" cm="1">
        <f t="array" ref="AK22">IF(ISBLANK(Table7[[#This Row],[Result_2_type]]), FALSE, "{ " &amp;
 _xlfn.TEXTJOIN(", ",
          TRUE,
          {"type","name","amount_min","amount_max","probability"} &amp; " = " &amp; IF(NOT(ISNUMBER(Table7[[#This Row],[Result_2_type]:[Result_2_P]])), """" &amp; Table7[[#This Row],[Result_2_type]:[Result_2_P]] &amp; """", Table7[[#This Row],[Result_2_type]:[Result_2_P]]) ) &amp;
  " }" )</f>
        <v>{ type = "item", name = "scrap", amount_min = 35, amount_max = 75, probability = 1 }</v>
      </c>
      <c r="AL22" t="str" cm="1">
        <f t="array" ref="AL22">IF(ISBLANK(Table7[[#This Row],[Result_3_type]]), FALSE, "{ " &amp;
 _xlfn.TEXTJOIN(", ",
          TRUE,
          {"type","name","amount_min","amount_max","probability"} &amp; " = " &amp; IF(NOT(ISNUMBER(Table7[[#This Row],[Result_3_type]:[Result_3_P]])), """" &amp; Table7[[#This Row],[Result_3_type]:[Result_3_P]] &amp; """", Table7[[#This Row],[Result_3_type]:[Result_3_P]]) ) &amp;
  " }" )</f>
        <v>{ type = "item", name = "holmium-ore", amount_min = 3, amount_max = 8, probability = 0.5 }</v>
      </c>
      <c r="AM22" t="str" cm="1">
        <f t="array" ref="AM22">IF(ISBLANK(Table7[[#This Row],[Result_4_type]]), FALSE, "{ " &amp;
 _xlfn.TEXTJOIN(", ",
          TRUE,
          {"type","name","amount_min","amount_max","probability"} &amp; " = " &amp; IF(NOT(ISNUMBER(Table7[[#This Row],[Result_4_type]:[Result_4_P]])), """" &amp; Table7[[#This Row],[Result_4_type]:[Result_4_P]] &amp; """", Table7[[#This Row],[Result_4_type]:[Result_4_P]]) ) &amp;
  " }" )</f>
        <v>{ type = "item", name = "fulgoran-asteroid-chunk-item", amount_min = 1, amount_max = 1, probability = 0.05 }</v>
      </c>
      <c r="AN22" s="15" t="str" cm="1">
        <f t="array" ref="AN22" xml:space="preserve"> "{ " &amp;
 _xlfn.TEXTJOIN(", ",
          TRUE,
          "{ type = ""item"", name = """ &amp; _xlfn.TRIMRANGE(Table7[[#This Row],[Ingredient 1]:[Ingredient 2]]) &amp; """, amount = " &amp; _xlfn.TRIMRANGE(Table7[[#This Row],[Ingredient 1 Amount]:[Ingredient 2 Amount]]) &amp; " }")
&amp; " }"</f>
        <v>{ { type = "item", name = "fulgoran-asteroid-chunk-item", amount = 1 } }</v>
      </c>
      <c r="AO22" s="15" t="str" cm="1">
        <f t="array" ref="AO22" xml:space="preserve"> "{ 
    " &amp; _xlfn.TEXTJOIN(", 
    ", TRUE, _xlfn._xlws.FILTER(Table7[[#This Row],[Results 1]:[Results 4]], IFERROR(--Table7[[#This Row],[Results 1]:[Results 4]], TRUE))) &amp; " 
}"</f>
        <v>{ 
    { type = "item", name = "stone", amount_min = 4, amount_max = 6, probability = 1 }, 
    { type = "item", name = "scrap", amount_min = 35, amount_max = 75, probability = 1 }, 
    { type = "item", name = "holmium-ore", amount_min = 3, amount_max = 8, probability = 0.5 }, 
    { type = "item", name = "fulgoran-asteroid-chunk-item", amount_min = 1, amount_max = 1, probability = 0.05 } 
}</v>
      </c>
      <c r="AP22" s="16" t="str" cm="1">
        <f t="array" ref="AP22">_xlfn.TEXTJOIN("
", TRUE, Table7[[#This Row],[Variable''s Name]] &amp; "." &amp; Table7[[#Headers],[name]:[energy_required]] &amp; " = " &amp; Table7[[#This Row],[name]:[energy_required]]) &amp; "
" &amp; Table7[[#This Row],[Variable''s Name]] &amp; ".ingredients = " &amp; Table7[[#This Row],[Ingredient String]] &amp; "
" &amp; Table7[[#This Row],[Variable''s Name]] &amp; ".results = " &amp; Table7[[#This Row],[Results String]]</f>
        <v>fulgoran_asteroid_chunk_crushing_adv.name = "fulgoran-asteroid-chunk-crushing-adv"
fulgoran_asteroid_chunk_crushing_adv.icon = "__Astra-Asteroids__/graphics/fulgora_crushing_basic.png"
fulgoran_asteroid_chunk_crushing_adv.order = "f"
fulgoran_asteroid_chunk_crushing_adv.enabled = false
fulgoran_asteroid_chunk_crushing_adv.energy_required = 5
fulgoran_asteroid_chunk_crushing_adv.ingredients = { { type = "item", name = "fulgoran-asteroid-chunk-item", amount = 1 } }
fulgoran_asteroid_chunk_crushing_adv.results = { 
    { type = "item", name = "stone", amount_min = 4, amount_max = 6, probability = 1 }, 
    { type = "item", name = "scrap", amount_min = 35, amount_max = 75, probability = 1 }, 
    { type = "item", name = "holmium-ore", amount_min = 3, amount_max = 8, probability = 0.5 }, 
    { type = "item", name = "fulgoran-asteroid-chunk-item", amount_min = 1, amount_max = 1, probability = 0.05 } 
}</v>
      </c>
    </row>
    <row r="23" spans="3:42" ht="18.75" customHeight="1">
      <c r="C23" t="s">
        <v>169</v>
      </c>
      <c r="E23" s="2" t="b">
        <f>OR(ISNUMBER(SEARCH("Adv", Table7[[#This Row],[Recipe]])), ISNUMBER(SEARCH("Special", Table7[[#This Row],[Recipe]])))</f>
        <v>1</v>
      </c>
      <c r="F23" s="2" t="s">
        <v>206</v>
      </c>
      <c r="G23" s="2" t="s">
        <v>180</v>
      </c>
      <c r="H23" s="19" t="s">
        <v>216</v>
      </c>
      <c r="I23" s="2" t="s">
        <v>86</v>
      </c>
      <c r="J23" s="2" t="s">
        <v>40</v>
      </c>
      <c r="K23" s="2">
        <v>5</v>
      </c>
      <c r="L23" s="17" t="s">
        <v>210</v>
      </c>
      <c r="M23" s="17" t="s">
        <v>62</v>
      </c>
      <c r="N23" s="2">
        <v>1</v>
      </c>
      <c r="O23" s="2">
        <v>1</v>
      </c>
      <c r="P23" s="2" t="s">
        <v>161</v>
      </c>
      <c r="Q23" s="2" t="s">
        <v>79</v>
      </c>
      <c r="R23" s="2">
        <v>2000</v>
      </c>
      <c r="S23" s="2">
        <v>2000</v>
      </c>
      <c r="T23" s="2">
        <v>1</v>
      </c>
      <c r="U23" s="2" t="s">
        <v>162</v>
      </c>
      <c r="V23" s="2" t="s">
        <v>78</v>
      </c>
      <c r="W23" s="2">
        <v>12</v>
      </c>
      <c r="X23" s="2">
        <v>12</v>
      </c>
      <c r="Y23" s="2">
        <v>1</v>
      </c>
      <c r="AJ23" t="str" cm="1">
        <f t="array" ref="AJ23">IF(ISBLANK(Table7[[#This Row],[Result_1_type]]), FALSE, "{ " &amp;
 _xlfn.TEXTJOIN(", ",
          TRUE,
          {"type","name","amount_min","amount_max","probability"} &amp; " = " &amp; IF(NOT(ISNUMBER(Table7[[#This Row],[Result_1_type]:[Result_1_P]])), """" &amp; Table7[[#This Row],[Result_1_type]:[Result_1_P]] &amp; """", Table7[[#This Row],[Result_1_type]:[Result_1_P]]) ) &amp;
  " }" )</f>
        <v>{ type = "fluid", name = "lava", amount_min = 2000, amount_max = 2000, probability = 1 }</v>
      </c>
      <c r="AK23" t="str" cm="1">
        <f t="array" ref="AK23">IF(ISBLANK(Table7[[#This Row],[Result_2_type]]), FALSE, "{ " &amp;
 _xlfn.TEXTJOIN(", ",
          TRUE,
          {"type","name","amount_min","amount_max","probability"} &amp; " = " &amp; IF(NOT(ISNUMBER(Table7[[#This Row],[Result_2_type]:[Result_2_P]])), """" &amp; Table7[[#This Row],[Result_2_type]:[Result_2_P]] &amp; """", Table7[[#This Row],[Result_2_type]:[Result_2_P]]) ) &amp;
  " }" )</f>
        <v>{ type = "item", name = "tungsten-ore", amount_min = 12, amount_max = 12, probability = 1 }</v>
      </c>
      <c r="AL23" t="b" cm="1">
        <f t="array" ref="AL23">IF(ISBLANK(Table7[[#This Row],[Result_3_type]]), FALSE, "{ " &amp;
 _xlfn.TEXTJOIN(", ",
          TRUE,
          {"type","name","amount_min","amount_max","probability"} &amp; " = " &amp; IF(NOT(ISNUMBER(Table7[[#This Row],[Result_3_type]:[Result_3_P]])), """" &amp; Table7[[#This Row],[Result_3_type]:[Result_3_P]] &amp; """", Table7[[#This Row],[Result_3_type]:[Result_3_P]]) ) &amp;
  " }" )</f>
        <v>0</v>
      </c>
      <c r="AM23" t="b" cm="1">
        <f t="array" ref="AM23">IF(ISBLANK(Table7[[#This Row],[Result_4_type]]), FALSE, "{ " &amp;
 _xlfn.TEXTJOIN(", ",
          TRUE,
          {"type","name","amount_min","amount_max","probability"} &amp; " = " &amp; IF(NOT(ISNUMBER(Table7[[#This Row],[Result_4_type]:[Result_4_P]])), """" &amp; Table7[[#This Row],[Result_4_type]:[Result_4_P]] &amp; """", Table7[[#This Row],[Result_4_type]:[Result_4_P]]) ) &amp;
  " }" )</f>
        <v>0</v>
      </c>
      <c r="AN23" s="15" t="str" cm="1">
        <f t="array" ref="AN23" xml:space="preserve"> "{ " &amp;
 _xlfn.TEXTJOIN(", ",
          TRUE,
          "{ type = ""item"", name = """ &amp; _xlfn.TRIMRANGE(Table7[[#This Row],[Ingredient 1]:[Ingredient 2]]) &amp; """, amount = " &amp; _xlfn.TRIMRANGE(Table7[[#This Row],[Ingredient 1 Amount]:[Ingredient 2 Amount]]) &amp; " }")
&amp; " }"</f>
        <v>{ { type = "item", name = "vulcanic-asteroid-chunk-item", amount = 1 }, { type = "item", name = "metallic-astroid-chunk", amount = 1 } }</v>
      </c>
      <c r="AO23" s="15" t="str" cm="1">
        <f t="array" ref="AO23" xml:space="preserve"> "{ 
    " &amp; _xlfn.TEXTJOIN(", 
    ", TRUE, _xlfn._xlws.FILTER(Table7[[#This Row],[Results 1]:[Results 4]], IFERROR(--Table7[[#This Row],[Results 1]:[Results 4]], TRUE))) &amp; " 
}"</f>
        <v>{ 
    { type = "fluid", name = "lava", amount_min = 2000, amount_max = 2000, probability = 1 }, 
    { type = "item", name = "tungsten-ore", amount_min = 12, amount_max = 12, probability = 1 } 
}</v>
      </c>
      <c r="AP23" s="16" t="str" cm="1">
        <f t="array" ref="AP23">_xlfn.TEXTJOIN("
", TRUE, Table7[[#This Row],[Variable''s Name]] &amp; "." &amp; Table7[[#Headers],[name]:[energy_required]] &amp; " = " &amp; Table7[[#This Row],[name]:[energy_required]]) &amp; "
" &amp; Table7[[#This Row],[Variable''s Name]] &amp; ".ingredients = " &amp; Table7[[#This Row],[Ingredient String]] &amp; "
" &amp; Table7[[#This Row],[Variable''s Name]] &amp; ".results = " &amp; Table7[[#This Row],[Results String]]</f>
        <v>vulcanus_special_crushing.name = "vulcanus-special-crushing"
vulcanus_special_crushing.icon = "__Astra-Asteroids__/graphics/vulcanus_crushing_basic.png"
vulcanus_special_crushing.order = "v"
vulcanus_special_crushing.enabled = false
vulcanus_special_crushing.energy_required = 5
vulcanus_special_crushing.ingredients = { { type = "item", name = "vulcanic-asteroid-chunk-item", amount = 1 }, { type = "item", name = "metallic-astroid-chunk", amount = 1 } }
vulcanus_special_crushing.results = { 
    { type = "fluid", name = "lava", amount_min = 2000, amount_max = 2000, probability = 1 }, 
    { type = "item", name = "tungsten-ore", amount_min = 12, amount_max = 12, probability = 1 } 
}</v>
      </c>
    </row>
    <row r="24" spans="3:42" ht="18.75" customHeight="1">
      <c r="C24" t="s">
        <v>166</v>
      </c>
      <c r="D24" s="2" t="s">
        <v>13</v>
      </c>
      <c r="E24" s="2" t="b">
        <f>OR(ISNUMBER(SEARCH("Adv", Table7[[#This Row],[Recipe]])), ISNUMBER(SEARCH("Special", Table7[[#This Row],[Recipe]])))</f>
        <v>1</v>
      </c>
      <c r="F24" s="2" t="s">
        <v>228</v>
      </c>
      <c r="G24" s="2" t="s">
        <v>182</v>
      </c>
      <c r="H24" s="19" t="s">
        <v>217</v>
      </c>
      <c r="I24" s="2" t="s">
        <v>36</v>
      </c>
      <c r="J24" s="2" t="s">
        <v>40</v>
      </c>
      <c r="K24" s="2">
        <v>5</v>
      </c>
      <c r="L24" s="17" t="s">
        <v>211</v>
      </c>
      <c r="M24" s="17"/>
      <c r="N24" s="2">
        <v>1</v>
      </c>
      <c r="AJ24" t="b" cm="1">
        <f t="array" ref="AJ24">IF(ISBLANK(Table7[[#This Row],[Result_1_type]]), FALSE, "{ " &amp;
 _xlfn.TEXTJOIN(", ",
          TRUE,
          {"type","name","amount_min","amount_max","probability"} &amp; " = " &amp; IF(NOT(ISNUMBER(Table7[[#This Row],[Result_1_type]:[Result_1_P]])), """" &amp; Table7[[#This Row],[Result_1_type]:[Result_1_P]] &amp; """", Table7[[#This Row],[Result_1_type]:[Result_1_P]]) ) &amp;
  " }" )</f>
        <v>0</v>
      </c>
      <c r="AK24" t="b" cm="1">
        <f t="array" ref="AK24">IF(ISBLANK(Table7[[#This Row],[Result_2_type]]), FALSE, "{ " &amp;
 _xlfn.TEXTJOIN(", ",
          TRUE,
          {"type","name","amount_min","amount_max","probability"} &amp; " = " &amp; IF(NOT(ISNUMBER(Table7[[#This Row],[Result_2_type]:[Result_2_P]])), """" &amp; Table7[[#This Row],[Result_2_type]:[Result_2_P]] &amp; """", Table7[[#This Row],[Result_2_type]:[Result_2_P]]) ) &amp;
  " }" )</f>
        <v>0</v>
      </c>
      <c r="AL24" t="b" cm="1">
        <f t="array" ref="AL24">IF(ISBLANK(Table7[[#This Row],[Result_3_type]]), FALSE, "{ " &amp;
 _xlfn.TEXTJOIN(", ",
          TRUE,
          {"type","name","amount_min","amount_max","probability"} &amp; " = " &amp; IF(NOT(ISNUMBER(Table7[[#This Row],[Result_3_type]:[Result_3_P]])), """" &amp; Table7[[#This Row],[Result_3_type]:[Result_3_P]] &amp; """", Table7[[#This Row],[Result_3_type]:[Result_3_P]]) ) &amp;
  " }" )</f>
        <v>0</v>
      </c>
      <c r="AM24" t="b" cm="1">
        <f t="array" ref="AM24">IF(ISBLANK(Table7[[#This Row],[Result_4_type]]), FALSE, "{ " &amp;
 _xlfn.TEXTJOIN(", ",
          TRUE,
          {"type","name","amount_min","amount_max","probability"} &amp; " = " &amp; IF(NOT(ISNUMBER(Table7[[#This Row],[Result_4_type]:[Result_4_P]])), """" &amp; Table7[[#This Row],[Result_4_type]:[Result_4_P]] &amp; """", Table7[[#This Row],[Result_4_type]:[Result_4_P]]) ) &amp;
  " }" )</f>
        <v>0</v>
      </c>
      <c r="AN24" s="15" t="str" cm="1">
        <f t="array" ref="AN24" xml:space="preserve"> "{ " &amp;
 _xlfn.TEXTJOIN(", ",
          TRUE,
          "{ type = ""item"", name = """ &amp; _xlfn.TRIMRANGE(Table7[[#This Row],[Ingredient 1]:[Ingredient 2]]) &amp; """, amount = " &amp; _xlfn.TRIMRANGE(Table7[[#This Row],[Ingredient 1 Amount]:[Ingredient 2 Amount]]) &amp; " }")
&amp; " }"</f>
        <v>{ { type = "item", name = "nauvis-asteroid-chunk-item", amount = 1 } }</v>
      </c>
      <c r="AO24" s="15" t="e" cm="1" vm="1">
        <f t="array" ref="AO24" xml:space="preserve"> "{ 
    " &amp; _xlfn.TEXTJOIN(", 
    ", TRUE, _xlfn._xlws.FILTER(Table7[[#This Row],[Results 1]:[Results 4]], IFERROR(--Table7[[#This Row],[Results 1]:[Results 4]], TRUE))) &amp; " 
}"</f>
        <v>#VALUE!</v>
      </c>
      <c r="AP24" s="16" t="e" cm="1" vm="2">
        <f t="array" ref="AP24">_xlfn.TEXTJOIN("
", TRUE, Table7[[#This Row],[Variable''s Name]] &amp; "." &amp; Table7[[#Headers],[name]:[energy_required]] &amp; " = " &amp; Table7[[#This Row],[name]:[energy_required]]) &amp; "
" &amp; Table7[[#This Row],[Variable''s Name]] &amp; ".ingredients = " &amp; Table7[[#This Row],[Ingredient String]] &amp; "
" &amp; Table7[[#This Row],[Variable''s Name]] &amp; ".results = " &amp; Table7[[#This Row],[Results String]]</f>
        <v>#VALUE!</v>
      </c>
    </row>
    <row r="25" spans="3:42" ht="18.75" customHeight="1">
      <c r="C25" t="s">
        <v>168</v>
      </c>
      <c r="D25" s="2" t="s">
        <v>13</v>
      </c>
      <c r="E25" s="2" t="b">
        <f>OR(ISNUMBER(SEARCH("Adv", Table7[[#This Row],[Recipe]])), ISNUMBER(SEARCH("Special", Table7[[#This Row],[Recipe]])))</f>
        <v>1</v>
      </c>
      <c r="F25" s="2" t="s">
        <v>227</v>
      </c>
      <c r="G25" s="2" t="s">
        <v>183</v>
      </c>
      <c r="H25" s="19" t="s">
        <v>218</v>
      </c>
      <c r="I25" s="2" t="s">
        <v>186</v>
      </c>
      <c r="J25" s="2" t="s">
        <v>40</v>
      </c>
      <c r="K25" s="2">
        <v>10</v>
      </c>
      <c r="L25" s="17" t="s">
        <v>212</v>
      </c>
      <c r="M25" s="17"/>
      <c r="N25" s="2">
        <v>1</v>
      </c>
      <c r="AJ25" t="b" cm="1">
        <f t="array" ref="AJ25">IF(ISBLANK(Table7[[#This Row],[Result_1_type]]), FALSE, "{ " &amp;
 _xlfn.TEXTJOIN(", ",
          TRUE,
          {"type","name","amount_min","amount_max","probability"} &amp; " = " &amp; IF(NOT(ISNUMBER(Table7[[#This Row],[Result_1_type]:[Result_1_P]])), """" &amp; Table7[[#This Row],[Result_1_type]:[Result_1_P]] &amp; """", Table7[[#This Row],[Result_1_type]:[Result_1_P]]) ) &amp;
  " }" )</f>
        <v>0</v>
      </c>
      <c r="AK25" t="b" cm="1">
        <f t="array" ref="AK25">IF(ISBLANK(Table7[[#This Row],[Result_2_type]]), FALSE, "{ " &amp;
 _xlfn.TEXTJOIN(", ",
          TRUE,
          {"type","name","amount_min","amount_max","probability"} &amp; " = " &amp; IF(NOT(ISNUMBER(Table7[[#This Row],[Result_2_type]:[Result_2_P]])), """" &amp; Table7[[#This Row],[Result_2_type]:[Result_2_P]] &amp; """", Table7[[#This Row],[Result_2_type]:[Result_2_P]]) ) &amp;
  " }" )</f>
        <v>0</v>
      </c>
      <c r="AL25" t="b" cm="1">
        <f t="array" ref="AL25">IF(ISBLANK(Table7[[#This Row],[Result_3_type]]), FALSE, "{ " &amp;
 _xlfn.TEXTJOIN(", ",
          TRUE,
          {"type","name","amount_min","amount_max","probability"} &amp; " = " &amp; IF(NOT(ISNUMBER(Table7[[#This Row],[Result_3_type]:[Result_3_P]])), """" &amp; Table7[[#This Row],[Result_3_type]:[Result_3_P]] &amp; """", Table7[[#This Row],[Result_3_type]:[Result_3_P]]) ) &amp;
  " }" )</f>
        <v>0</v>
      </c>
      <c r="AM25" t="b" cm="1">
        <f t="array" ref="AM25">IF(ISBLANK(Table7[[#This Row],[Result_4_type]]), FALSE, "{ " &amp;
 _xlfn.TEXTJOIN(", ",
          TRUE,
          {"type","name","amount_min","amount_max","probability"} &amp; " = " &amp; IF(NOT(ISNUMBER(Table7[[#This Row],[Result_4_type]:[Result_4_P]])), """" &amp; Table7[[#This Row],[Result_4_type]:[Result_4_P]] &amp; """", Table7[[#This Row],[Result_4_type]:[Result_4_P]]) ) &amp;
  " }" )</f>
        <v>0</v>
      </c>
      <c r="AN25" s="15" t="str" cm="1">
        <f t="array" ref="AN25" xml:space="preserve"> "{ " &amp;
 _xlfn.TEXTJOIN(", ",
          TRUE,
          "{ type = ""item"", name = """ &amp; _xlfn.TRIMRANGE(Table7[[#This Row],[Ingredient 1]:[Ingredient 2]]) &amp; """, amount = " &amp; _xlfn.TRIMRANGE(Table7[[#This Row],[Ingredient 1 Amount]:[Ingredient 2 Amount]]) &amp; " }")
&amp; " }"</f>
        <v>{ { type = "item", name = "gleba-asteroid-chunk-item", amount = 1 } }</v>
      </c>
      <c r="AO25" s="15" t="e" cm="1" vm="1">
        <f t="array" ref="AO25" xml:space="preserve"> "{ 
    " &amp; _xlfn.TEXTJOIN(", 
    ", TRUE, _xlfn._xlws.FILTER(Table7[[#This Row],[Results 1]:[Results 4]], IFERROR(--Table7[[#This Row],[Results 1]:[Results 4]], TRUE))) &amp; " 
}"</f>
        <v>#VALUE!</v>
      </c>
      <c r="AP25" s="16" t="e" cm="1" vm="2">
        <f t="array" ref="AP25">_xlfn.TEXTJOIN("
", TRUE, Table7[[#This Row],[Variable''s Name]] &amp; "." &amp; Table7[[#Headers],[name]:[energy_required]] &amp; " = " &amp; Table7[[#This Row],[name]:[energy_required]]) &amp; "
" &amp; Table7[[#This Row],[Variable''s Name]] &amp; ".ingredients = " &amp; Table7[[#This Row],[Ingredient String]] &amp; "
" &amp; Table7[[#This Row],[Variable''s Name]] &amp; ".results = " &amp; Table7[[#This Row],[Results String]]</f>
        <v>#VALUE!</v>
      </c>
    </row>
    <row r="26" spans="3:42" ht="18.75" customHeight="1">
      <c r="C26" t="s">
        <v>167</v>
      </c>
      <c r="E26" s="2" t="b">
        <f>OR(ISNUMBER(SEARCH("Adv", Table7[[#This Row],[Recipe]])), ISNUMBER(SEARCH("Special", Table7[[#This Row],[Recipe]])))</f>
        <v>1</v>
      </c>
      <c r="F26" s="2" t="s">
        <v>207</v>
      </c>
      <c r="G26" s="2" t="s">
        <v>184</v>
      </c>
      <c r="H26" s="19" t="s">
        <v>215</v>
      </c>
      <c r="I26" s="2" t="s">
        <v>35</v>
      </c>
      <c r="J26" s="2" t="s">
        <v>40</v>
      </c>
      <c r="K26" s="2">
        <v>10</v>
      </c>
      <c r="L26" s="17" t="s">
        <v>213</v>
      </c>
      <c r="M26" s="17" t="s">
        <v>214</v>
      </c>
      <c r="N26" s="2">
        <v>1</v>
      </c>
      <c r="O26" s="2">
        <v>1</v>
      </c>
      <c r="P26" s="2" t="s">
        <v>162</v>
      </c>
      <c r="Q26" s="2" t="s">
        <v>68</v>
      </c>
      <c r="R26" s="2">
        <v>5</v>
      </c>
      <c r="S26" s="2">
        <v>5</v>
      </c>
      <c r="T26" s="2">
        <v>1</v>
      </c>
      <c r="U26" s="2" t="s">
        <v>161</v>
      </c>
      <c r="V26" s="2" t="s">
        <v>171</v>
      </c>
      <c r="W26" s="2">
        <v>20</v>
      </c>
      <c r="X26" s="2">
        <v>20</v>
      </c>
      <c r="Y26" s="2">
        <v>1</v>
      </c>
      <c r="Z26" s="2" t="s">
        <v>161</v>
      </c>
      <c r="AA26" s="2" t="s">
        <v>172</v>
      </c>
      <c r="AB26" s="2">
        <v>20</v>
      </c>
      <c r="AC26" s="2">
        <v>20</v>
      </c>
      <c r="AD26" s="2">
        <v>1</v>
      </c>
      <c r="AJ26" t="str" cm="1">
        <f t="array" ref="AJ26">IF(ISBLANK(Table7[[#This Row],[Result_1_type]]), FALSE, "{ " &amp;
 _xlfn.TEXTJOIN(", ",
          TRUE,
          {"type","name","amount_min","amount_max","probability"} &amp; " = " &amp; IF(NOT(ISNUMBER(Table7[[#This Row],[Result_1_type]:[Result_1_P]])), """" &amp; Table7[[#This Row],[Result_1_type]:[Result_1_P]] &amp; """", Table7[[#This Row],[Result_1_type]:[Result_1_P]]) ) &amp;
  " }" )</f>
        <v>{ type = "item", name = "stone", amount_min = 5, amount_max = 5, probability = 1 }</v>
      </c>
      <c r="AK26" t="str" cm="1">
        <f t="array" ref="AK26">IF(ISBLANK(Table7[[#This Row],[Result_2_type]]), FALSE, "{ " &amp;
 _xlfn.TEXTJOIN(", ",
          TRUE,
          {"type","name","amount_min","amount_max","probability"} &amp; " = " &amp; IF(NOT(ISNUMBER(Table7[[#This Row],[Result_2_type]:[Result_2_P]])), """" &amp; Table7[[#This Row],[Result_2_type]:[Result_2_P]] &amp; """", Table7[[#This Row],[Result_2_type]:[Result_2_P]]) ) &amp;
  " }" )</f>
        <v>{ type = "fluid", name = "heavy-oil", amount_min = 20, amount_max = 20, probability = 1 }</v>
      </c>
      <c r="AL26" t="str" cm="1">
        <f t="array" ref="AL26">IF(ISBLANK(Table7[[#This Row],[Result_3_type]]), FALSE, "{ " &amp;
 _xlfn.TEXTJOIN(", ",
          TRUE,
          {"type","name","amount_min","amount_max","probability"} &amp; " = " &amp; IF(NOT(ISNUMBER(Table7[[#This Row],[Result_3_type]:[Result_3_P]])), """" &amp; Table7[[#This Row],[Result_3_type]:[Result_3_P]] &amp; """", Table7[[#This Row],[Result_3_type]:[Result_3_P]]) ) &amp;
  " }" )</f>
        <v>{ type = "fluid", name = "holmium-solution", amount_min = 20, amount_max = 20, probability = 1 }</v>
      </c>
      <c r="AM26" t="b" cm="1">
        <f t="array" ref="AM26">IF(ISBLANK(Table7[[#This Row],[Result_4_type]]), FALSE, "{ " &amp;
 _xlfn.TEXTJOIN(", ",
          TRUE,
          {"type","name","amount_min","amount_max","probability"} &amp; " = " &amp; IF(NOT(ISNUMBER(Table7[[#This Row],[Result_4_type]:[Result_4_P]])), """" &amp; Table7[[#This Row],[Result_4_type]:[Result_4_P]] &amp; """", Table7[[#This Row],[Result_4_type]:[Result_4_P]]) ) &amp;
  " }" )</f>
        <v>0</v>
      </c>
      <c r="AN26" s="15" t="str" cm="1">
        <f t="array" ref="AN26" xml:space="preserve"> "{ " &amp;
 _xlfn.TEXTJOIN(", ",
          TRUE,
          "{ type = ""item"", name = """ &amp; _xlfn.TRIMRANGE(Table7[[#This Row],[Ingredient 1]:[Ingredient 2]]) &amp; """, amount = " &amp; _xlfn.TRIMRANGE(Table7[[#This Row],[Ingredient 1 Amount]:[Ingredient 2 Amount]]) &amp; " }")
&amp; " }"</f>
        <v>{ { type = "item", name = "fulgoran-asteroid-chunk-item", amount = 1 }, { type = "item", name = "carbonic-asteroid-chunk-item", amount = 1 } }</v>
      </c>
      <c r="AO26" s="15" t="str" cm="1">
        <f t="array" ref="AO26" xml:space="preserve"> "{ 
    " &amp; _xlfn.TEXTJOIN(", 
    ", TRUE, _xlfn._xlws.FILTER(Table7[[#This Row],[Results 1]:[Results 4]], IFERROR(--Table7[[#This Row],[Results 1]:[Results 4]], TRUE))) &amp; " 
}"</f>
        <v>{ 
    { type = "item", name = "stone", amount_min = 5, amount_max = 5, probability = 1 }, 
    { type = "fluid", name = "heavy-oil", amount_min = 20, amount_max = 20, probability = 1 }, 
    { type = "fluid", name = "holmium-solution", amount_min = 20, amount_max = 20, probability = 1 } 
}</v>
      </c>
      <c r="AP26" s="16" t="str" cm="1">
        <f t="array" ref="AP26">_xlfn.TEXTJOIN("
", TRUE, Table7[[#This Row],[Variable''s Name]] &amp; "." &amp; Table7[[#Headers],[name]:[energy_required]] &amp; " = " &amp; Table7[[#This Row],[name]:[energy_required]]) &amp; "
" &amp; Table7[[#This Row],[Variable''s Name]] &amp; ".ingredients = " &amp; Table7[[#This Row],[Ingredient String]] &amp; "
" &amp; Table7[[#This Row],[Variable''s Name]] &amp; ".results = " &amp; Table7[[#This Row],[Results String]]</f>
        <v>fulgoran_special_crushing.name = "fulgoran-special-crushing"
fulgoran_special_crushing.icon = "__Astra-Asteroids__/graphics/fulgora_crushing_basic.png"
fulgoran_special_crushing.order = "f"
fulgoran_special_crushing.enabled = false
fulgoran_special_crushing.energy_required = 10
fulgoran_special_crushing.ingredients = { { type = "item", name = "fulgoran-asteroid-chunk-item", amount = 1 }, { type = "item", name = "carbonic-asteroid-chunk-item", amount = 1 } }
fulgoran_special_crushing.results = { 
    { type = "item", name = "stone", amount_min = 5, amount_max = 5, probability = 1 }, 
    { type = "fluid", name = "heavy-oil", amount_min = 20, amount_max = 20, probability = 1 }, 
    { type = "fluid", name = "holmium-solution", amount_min = 20, amount_max = 20, probability = 1 } 
}</v>
      </c>
    </row>
    <row r="31" spans="3:42">
      <c r="E31" s="17"/>
    </row>
    <row r="32" spans="3:42">
      <c r="E32" s="17"/>
    </row>
    <row r="33" spans="5:42">
      <c r="E33" s="17"/>
    </row>
    <row r="34" spans="5:42">
      <c r="E34" s="17"/>
      <c r="AP34" t="s">
        <v>189</v>
      </c>
    </row>
    <row r="35" spans="5:42">
      <c r="E35" s="17"/>
      <c r="O35" s="2" t="str" cm="1">
        <f t="array" ref="O35">_xlfn.TEXTJOIN(", ", TRUE, IF(NOT(ISNUMBER(P35:V35)), """" &amp; P35:V35 &amp; """", P35:V35))</f>
        <v>"item", "ice", 5, 5, 1, "item", "oxide-asteroid-chunk"</v>
      </c>
      <c r="P35" s="2" t="s">
        <v>162</v>
      </c>
      <c r="Q35" s="2" t="s">
        <v>73</v>
      </c>
      <c r="R35" s="2">
        <v>5</v>
      </c>
      <c r="S35" s="2">
        <v>5</v>
      </c>
      <c r="T35" s="2">
        <v>1</v>
      </c>
      <c r="U35" s="2" t="s">
        <v>162</v>
      </c>
      <c r="V35" s="2" t="s">
        <v>122</v>
      </c>
      <c r="AP35" t="s">
        <v>190</v>
      </c>
    </row>
    <row r="36" spans="5:42">
      <c r="E36" s="17"/>
      <c r="O36" s="2" t="str">
        <f>_xlfn.TEXTJOIN(", ", TRUE, P36:V36)</f>
        <v>item, iron-ore, 10, 10, 1, item, copper-ore</v>
      </c>
      <c r="P36" s="2" t="s">
        <v>162</v>
      </c>
      <c r="Q36" s="2" t="s">
        <v>69</v>
      </c>
      <c r="R36" s="2">
        <v>10</v>
      </c>
      <c r="S36" s="2">
        <v>10</v>
      </c>
      <c r="T36" s="2">
        <v>1</v>
      </c>
      <c r="U36" s="2" t="s">
        <v>162</v>
      </c>
      <c r="V36" s="2" t="s">
        <v>70</v>
      </c>
      <c r="AP36" t="s">
        <v>191</v>
      </c>
    </row>
    <row r="37" spans="5:42">
      <c r="E37" s="17"/>
      <c r="AP37" t="s">
        <v>192</v>
      </c>
    </row>
    <row r="38" spans="5:42">
      <c r="E38" s="17"/>
      <c r="AP38" t="s">
        <v>193</v>
      </c>
    </row>
    <row r="39" spans="5:42">
      <c r="E39" s="17"/>
      <c r="AP39" t="s">
        <v>194</v>
      </c>
    </row>
    <row r="40" spans="5:42">
      <c r="E40" s="17"/>
      <c r="AP40" t="s">
        <v>195</v>
      </c>
    </row>
    <row r="41" spans="5:42">
      <c r="E41" s="17"/>
      <c r="AP41" t="s">
        <v>196</v>
      </c>
    </row>
    <row r="42" spans="5:42">
      <c r="E42" s="17"/>
      <c r="AP42" t="s">
        <v>197</v>
      </c>
    </row>
    <row r="43" spans="5:42">
      <c r="AL43" t="s">
        <v>99</v>
      </c>
    </row>
    <row r="44" spans="5:42">
      <c r="AL44" t="s">
        <v>100</v>
      </c>
    </row>
    <row r="45" spans="5:42">
      <c r="AL45" t="s">
        <v>101</v>
      </c>
    </row>
    <row r="46" spans="5:42">
      <c r="AL46" t="s">
        <v>102</v>
      </c>
    </row>
    <row r="47" spans="5:42">
      <c r="AL47" t="s">
        <v>91</v>
      </c>
    </row>
    <row r="48" spans="5:42">
      <c r="AL48" t="s">
        <v>87</v>
      </c>
    </row>
    <row r="49" spans="38:38">
      <c r="AL49" t="s">
        <v>95</v>
      </c>
    </row>
    <row r="50" spans="38:38">
      <c r="AL50" t="s">
        <v>92</v>
      </c>
    </row>
    <row r="51" spans="38:38">
      <c r="AL51" t="s">
        <v>88</v>
      </c>
    </row>
    <row r="52" spans="38:38">
      <c r="AL52" t="s">
        <v>96</v>
      </c>
    </row>
    <row r="53" spans="38:38">
      <c r="AL53" t="s">
        <v>93</v>
      </c>
    </row>
    <row r="54" spans="38:38">
      <c r="AL54" t="s">
        <v>89</v>
      </c>
    </row>
    <row r="55" spans="38:38">
      <c r="AL55" t="s">
        <v>97</v>
      </c>
    </row>
    <row r="56" spans="38:38">
      <c r="AL56" t="s">
        <v>94</v>
      </c>
    </row>
    <row r="57" spans="38:38">
      <c r="AL57" t="s">
        <v>90</v>
      </c>
    </row>
    <row r="58" spans="38:38">
      <c r="AL58" t="s">
        <v>98</v>
      </c>
    </row>
  </sheetData>
  <sortState xmlns:xlrd2="http://schemas.microsoft.com/office/spreadsheetml/2017/richdata2" ref="AL47:AL58">
    <sortCondition ref="AL47:AL58"/>
  </sortState>
  <phoneticPr fontId="1" type="noConversion"/>
  <conditionalFormatting sqref="AA14:AM14 F8:AM13 F14:Y14 C8:E26 F15:AM26 AP8:AP26">
    <cfRule type="expression" dxfId="2" priority="1">
      <formula>LEN($D8) &gt; 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8318C-CA68-4EB8-AA36-1FC23F5E77D3}">
  <sheetPr codeName="Sheet4"/>
  <dimension ref="B2:K19"/>
  <sheetViews>
    <sheetView topLeftCell="F1" workbookViewId="0">
      <selection activeCell="K9" sqref="K9"/>
    </sheetView>
  </sheetViews>
  <sheetFormatPr defaultRowHeight="14.25"/>
  <cols>
    <col min="3" max="3" width="36.125" customWidth="1"/>
    <col min="4" max="4" width="10.875" bestFit="1" customWidth="1"/>
    <col min="5" max="5" width="13.375" bestFit="1" customWidth="1"/>
    <col min="8" max="8" width="29.25" bestFit="1" customWidth="1"/>
    <col min="10" max="10" width="10" customWidth="1"/>
    <col min="11" max="11" width="53" customWidth="1"/>
  </cols>
  <sheetData>
    <row r="2" spans="2:11">
      <c r="K2" t="str">
        <f>"{ 
" &amp;
_xlfn.TEXTJOIN(", 
", TRUE, Table1[line items])
&amp; "
}"</f>
        <v>{ 
    { name = "space-platform-foundation", type = "item", amount = 500 }, 
    { name = "solar-panel", type = "item", amount = 20 }, 
    { name = "astra-simple-crusher", type = "item", amount = 4 }, 
    { name = "astra-simple-asteroid-collector", type = "item", amount = 6 }, 
    { name = "inserter", type = "item", amount = 6 }, 
    { name = "electric-furnace", type = "item", amount = 8 }, 
    { name = "assembling-machine-1", type = "item", amount = 2 }, 
    { name = "iron-plate", type = "item", amount = 50 }, 
    { name = "efficiency-module-2", type = "item", amount = 6 }, 
    { name = "transport-belt", type = "item", amount = 40 }
}</v>
      </c>
    </row>
    <row r="5" spans="2:11" ht="15">
      <c r="B5" s="10"/>
      <c r="C5" s="11" t="s">
        <v>145</v>
      </c>
      <c r="D5" s="10"/>
      <c r="E5" s="10"/>
      <c r="H5" t="s">
        <v>30</v>
      </c>
      <c r="I5" t="s">
        <v>29</v>
      </c>
      <c r="J5" t="s">
        <v>125</v>
      </c>
      <c r="K5" t="s">
        <v>156</v>
      </c>
    </row>
    <row r="6" spans="2:11" ht="15">
      <c r="B6" s="10"/>
      <c r="C6" s="11" t="s">
        <v>126</v>
      </c>
      <c r="D6" s="10" t="s">
        <v>127</v>
      </c>
      <c r="E6" s="10" t="s">
        <v>128</v>
      </c>
      <c r="H6" t="s">
        <v>146</v>
      </c>
      <c r="I6" t="str">
        <f t="shared" ref="I6:I15" si="0">"""item"""</f>
        <v>"item"</v>
      </c>
      <c r="J6">
        <v>500</v>
      </c>
      <c r="K6" t="str" cm="1">
        <f t="array" ref="K6">"    { " &amp; _xlfn.TEXTJOIN(", ", TRUE, Table1[[#Headers],[name]:[amount]] &amp; " = " &amp; Table1[[#This Row],[name]:[amount]]) &amp; " }"</f>
        <v xml:space="preserve">    { name = "space-platform-foundation", type = "item", amount = 500 }</v>
      </c>
    </row>
    <row r="7" spans="2:11" ht="15">
      <c r="B7" s="10"/>
      <c r="C7" s="11" t="s">
        <v>129</v>
      </c>
      <c r="D7" s="10" t="s">
        <v>127</v>
      </c>
      <c r="E7" s="10" t="s">
        <v>130</v>
      </c>
      <c r="H7" t="s">
        <v>147</v>
      </c>
      <c r="I7" t="str">
        <f t="shared" si="0"/>
        <v>"item"</v>
      </c>
      <c r="J7">
        <v>20</v>
      </c>
      <c r="K7" t="str" cm="1">
        <f t="array" ref="K7">"    { " &amp; _xlfn.TEXTJOIN(", ", TRUE, Table1[[#Headers],[name]:[amount]] &amp; " = " &amp; Table1[[#This Row],[name]:[amount]]) &amp; " }"</f>
        <v xml:space="preserve">    { name = "solar-panel", type = "item", amount = 20 }</v>
      </c>
    </row>
    <row r="8" spans="2:11" ht="15">
      <c r="B8" s="10"/>
      <c r="C8" s="11" t="s">
        <v>131</v>
      </c>
      <c r="D8" s="10" t="s">
        <v>127</v>
      </c>
      <c r="E8" s="10" t="s">
        <v>132</v>
      </c>
      <c r="H8" t="s">
        <v>148</v>
      </c>
      <c r="I8" t="str">
        <f t="shared" si="0"/>
        <v>"item"</v>
      </c>
      <c r="J8">
        <v>4</v>
      </c>
      <c r="K8" t="str" cm="1">
        <f t="array" ref="K8">"    { " &amp; _xlfn.TEXTJOIN(", ", TRUE, Table1[[#Headers],[name]:[amount]] &amp; " = " &amp; Table1[[#This Row],[name]:[amount]]) &amp; " }"</f>
        <v xml:space="preserve">    { name = "astra-simple-crusher", type = "item", amount = 4 }</v>
      </c>
    </row>
    <row r="9" spans="2:11" ht="15">
      <c r="B9" s="10"/>
      <c r="C9" s="11" t="s">
        <v>133</v>
      </c>
      <c r="D9" s="10" t="s">
        <v>127</v>
      </c>
      <c r="E9" s="10" t="s">
        <v>134</v>
      </c>
      <c r="H9" t="s">
        <v>149</v>
      </c>
      <c r="I9" t="str">
        <f t="shared" si="0"/>
        <v>"item"</v>
      </c>
      <c r="J9">
        <v>6</v>
      </c>
      <c r="K9" t="str" cm="1">
        <f t="array" ref="K9">"    { " &amp; _xlfn.TEXTJOIN(", ", TRUE, Table1[[#Headers],[name]:[amount]] &amp; " = " &amp; Table1[[#This Row],[name]:[amount]]) &amp; " }"</f>
        <v xml:space="preserve">    { name = "astra-simple-asteroid-collector", type = "item", amount = 6 }</v>
      </c>
    </row>
    <row r="10" spans="2:11" ht="15">
      <c r="B10" s="10"/>
      <c r="C10" s="11" t="s">
        <v>135</v>
      </c>
      <c r="D10" s="10" t="s">
        <v>127</v>
      </c>
      <c r="E10" s="10" t="s">
        <v>134</v>
      </c>
      <c r="H10" t="s">
        <v>150</v>
      </c>
      <c r="I10" t="str">
        <f t="shared" si="0"/>
        <v>"item"</v>
      </c>
      <c r="J10">
        <v>6</v>
      </c>
      <c r="K10" t="str" cm="1">
        <f t="array" ref="K10">"    { " &amp; _xlfn.TEXTJOIN(", ", TRUE, Table1[[#Headers],[name]:[amount]] &amp; " = " &amp; Table1[[#This Row],[name]:[amount]]) &amp; " }"</f>
        <v xml:space="preserve">    { name = "inserter", type = "item", amount = 6 }</v>
      </c>
    </row>
    <row r="11" spans="2:11" ht="15">
      <c r="B11" s="10"/>
      <c r="C11" s="11" t="s">
        <v>136</v>
      </c>
      <c r="D11" s="10" t="s">
        <v>127</v>
      </c>
      <c r="E11" s="10" t="s">
        <v>137</v>
      </c>
      <c r="H11" t="s">
        <v>151</v>
      </c>
      <c r="I11" t="str">
        <f t="shared" si="0"/>
        <v>"item"</v>
      </c>
      <c r="J11">
        <v>8</v>
      </c>
      <c r="K11" t="str" cm="1">
        <f t="array" ref="K11">"    { " &amp; _xlfn.TEXTJOIN(", ", TRUE, Table1[[#Headers],[name]:[amount]] &amp; " = " &amp; Table1[[#This Row],[name]:[amount]]) &amp; " }"</f>
        <v xml:space="preserve">    { name = "electric-furnace", type = "item", amount = 8 }</v>
      </c>
    </row>
    <row r="12" spans="2:11" ht="15">
      <c r="B12" s="10"/>
      <c r="C12" s="11" t="s">
        <v>138</v>
      </c>
      <c r="D12" s="10" t="s">
        <v>127</v>
      </c>
      <c r="E12" s="10" t="s">
        <v>139</v>
      </c>
      <c r="H12" t="s">
        <v>152</v>
      </c>
      <c r="I12" t="str">
        <f t="shared" si="0"/>
        <v>"item"</v>
      </c>
      <c r="J12">
        <v>2</v>
      </c>
      <c r="K12" t="str" cm="1">
        <f t="array" ref="K12">"    { " &amp; _xlfn.TEXTJOIN(", ", TRUE, Table1[[#Headers],[name]:[amount]] &amp; " = " &amp; Table1[[#This Row],[name]:[amount]]) &amp; " }"</f>
        <v xml:space="preserve">    { name = "assembling-machine-1", type = "item", amount = 2 }</v>
      </c>
    </row>
    <row r="13" spans="2:11" ht="15">
      <c r="B13" s="10"/>
      <c r="C13" s="11" t="s">
        <v>140</v>
      </c>
      <c r="D13" s="10" t="s">
        <v>127</v>
      </c>
      <c r="E13" s="10" t="s">
        <v>141</v>
      </c>
      <c r="H13" t="s">
        <v>153</v>
      </c>
      <c r="I13" t="str">
        <f t="shared" si="0"/>
        <v>"item"</v>
      </c>
      <c r="J13">
        <v>50</v>
      </c>
      <c r="K13" t="str" cm="1">
        <f t="array" ref="K13">"    { " &amp; _xlfn.TEXTJOIN(", ", TRUE, Table1[[#Headers],[name]:[amount]] &amp; " = " &amp; Table1[[#This Row],[name]:[amount]]) &amp; " }"</f>
        <v xml:space="preserve">    { name = "iron-plate", type = "item", amount = 50 }</v>
      </c>
    </row>
    <row r="14" spans="2:11" ht="15">
      <c r="B14" s="10"/>
      <c r="C14" s="11" t="s">
        <v>142</v>
      </c>
      <c r="D14" s="10" t="s">
        <v>127</v>
      </c>
      <c r="E14" s="10" t="s">
        <v>134</v>
      </c>
      <c r="H14" t="s">
        <v>154</v>
      </c>
      <c r="I14" t="str">
        <f t="shared" si="0"/>
        <v>"item"</v>
      </c>
      <c r="J14">
        <v>6</v>
      </c>
      <c r="K14" t="str" cm="1">
        <f t="array" ref="K14">"    { " &amp; _xlfn.TEXTJOIN(", ", TRUE, Table1[[#Headers],[name]:[amount]] &amp; " = " &amp; Table1[[#This Row],[name]:[amount]]) &amp; " }"</f>
        <v xml:space="preserve">    { name = "efficiency-module-2", type = "item", amount = 6 }</v>
      </c>
    </row>
    <row r="15" spans="2:11" ht="15">
      <c r="B15" s="10"/>
      <c r="C15" s="11" t="s">
        <v>143</v>
      </c>
      <c r="D15" s="10" t="s">
        <v>127</v>
      </c>
      <c r="E15" s="10" t="s">
        <v>144</v>
      </c>
      <c r="H15" t="s">
        <v>155</v>
      </c>
      <c r="I15" t="str">
        <f t="shared" si="0"/>
        <v>"item"</v>
      </c>
      <c r="J15">
        <v>40</v>
      </c>
      <c r="K15" t="str" cm="1">
        <f t="array" ref="K15">"    { " &amp; _xlfn.TEXTJOIN(", ", TRUE, Table1[[#Headers],[name]:[amount]] &amp; " = " &amp; Table1[[#This Row],[name]:[amount]]) &amp; " }"</f>
        <v xml:space="preserve">    { name = "transport-belt", type = "item", amount = 40 }</v>
      </c>
    </row>
    <row r="16" spans="2:11" ht="15">
      <c r="B16" s="10"/>
      <c r="C16" s="11" t="s">
        <v>124</v>
      </c>
      <c r="D16" s="10"/>
      <c r="E16" s="10"/>
    </row>
    <row r="17" spans="2:5">
      <c r="B17" s="10"/>
      <c r="C17" s="10"/>
      <c r="D17" s="10"/>
      <c r="E17" s="10"/>
    </row>
    <row r="18" spans="2:5">
      <c r="B18" s="10"/>
      <c r="C18" s="10"/>
      <c r="D18" s="10"/>
      <c r="E18" s="10"/>
    </row>
    <row r="19" spans="2:5">
      <c r="B19" s="10"/>
      <c r="C19" s="10"/>
      <c r="D19" s="10"/>
      <c r="E19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Asteroids (chunks, chunk items)</vt:lpstr>
      <vt:lpstr>Recipies</vt:lpstr>
      <vt:lpstr>ItemListGen</vt:lpstr>
      <vt:lpstr>advRecipeCopy</vt:lpstr>
      <vt:lpstr>baseRecipeCopy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 Ciano</dc:creator>
  <cp:lastModifiedBy>Gwen Ciano</cp:lastModifiedBy>
  <dcterms:created xsi:type="dcterms:W3CDTF">2025-05-24T16:35:17Z</dcterms:created>
  <dcterms:modified xsi:type="dcterms:W3CDTF">2026-05-04T02:29:42Z</dcterms:modified>
</cp:coreProperties>
</file>